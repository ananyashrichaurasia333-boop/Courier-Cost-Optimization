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nya Chaurasia\Desktop\COURIER\"/>
    </mc:Choice>
  </mc:AlternateContent>
  <xr:revisionPtr revIDLastSave="0" documentId="8_{6CA79FE3-D8A2-4D7B-BA25-FB75EBE1D9C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STINGMODEL" sheetId="39" r:id="rId1"/>
    <sheet name="COMPARATIVE" sheetId="51" r:id="rId2"/>
    <sheet name="DTDC PREV VS CURRENT" sheetId="55" r:id="rId3"/>
    <sheet name="SPECIALDESTINATION" sheetId="53" r:id="rId4"/>
    <sheet name="RESTOFINDIA" sheetId="43" r:id="rId5"/>
    <sheet name="METRO TO METRO" sheetId="50" r:id="rId6"/>
    <sheet name="WITHINZONE" sheetId="42" r:id="rId7"/>
    <sheet name="WITHINSTATE" sheetId="41" r:id="rId8"/>
    <sheet name="WITHINCITY" sheetId="40" r:id="rId9"/>
    <sheet name="DTDC" sheetId="49" r:id="rId10"/>
    <sheet name="PROFESSIONAL COURIER SERVICE" sheetId="44" state="hidden" r:id="rId11"/>
    <sheet name="SHREE MARUTI COURIER SERVICE" sheetId="48" r:id="rId12"/>
    <sheet name="ANJANI COURIER SERVICE" sheetId="45" state="hidden" r:id="rId13"/>
    <sheet name="ITHINK LOGISTIC SHADOWFAX" sheetId="46" state="hidden" r:id="rId14"/>
    <sheet name="Slabs" sheetId="47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6" l="1" a="1"/>
  <c r="G2" i="46" s="1"/>
  <c r="F2" i="46" a="1"/>
  <c r="F2" i="46" s="1"/>
  <c r="E2" i="46" a="1"/>
  <c r="E2" i="46" s="1"/>
  <c r="D2" i="46" a="1"/>
  <c r="D2" i="46" s="1"/>
  <c r="C2" i="46" a="1"/>
  <c r="C2" i="46" s="1"/>
  <c r="B2" i="46" a="1"/>
  <c r="B2" i="46" s="1"/>
  <c r="A4" i="46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3" i="46"/>
  <c r="G2" i="45" a="1"/>
  <c r="G2" i="45" s="1"/>
  <c r="F2" i="45" a="1"/>
  <c r="F2" i="45" s="1"/>
  <c r="E2" i="45" a="1"/>
  <c r="E2" i="45" s="1"/>
  <c r="D2" i="45" a="1"/>
  <c r="D2" i="45" s="1"/>
  <c r="C2" i="45" a="1"/>
  <c r="C2" i="45" s="1"/>
  <c r="B2" i="45" a="1"/>
  <c r="B2" i="45" s="1"/>
  <c r="A4" i="45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3" i="45"/>
  <c r="G2" i="48" a="1"/>
  <c r="G2" i="48" s="1"/>
  <c r="E2" i="48" a="1"/>
  <c r="E2" i="48" s="1"/>
  <c r="A4" i="48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3" i="48"/>
  <c r="G2" i="44" a="1"/>
  <c r="G2" i="44" s="1"/>
  <c r="F2" i="44" a="1"/>
  <c r="F2" i="44" s="1"/>
  <c r="E2" i="44" a="1"/>
  <c r="E2" i="44" s="1"/>
  <c r="D2" i="44" a="1"/>
  <c r="D2" i="44" s="1"/>
  <c r="C2" i="44" a="1"/>
  <c r="C2" i="44" s="1"/>
  <c r="B2" i="44" a="1"/>
  <c r="B2" i="44" s="1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49" i="44" s="1"/>
  <c r="A50" i="44" s="1"/>
  <c r="A51" i="44" s="1"/>
  <c r="A3" i="44"/>
  <c r="G2" i="49" a="1"/>
  <c r="G2" i="49" s="1"/>
  <c r="F2" i="49" a="1"/>
  <c r="F2" i="49" s="1"/>
  <c r="E2" i="49" a="1"/>
  <c r="E2" i="49" s="1"/>
  <c r="D2" i="49" a="1"/>
  <c r="D2" i="49" s="1"/>
  <c r="C2" i="49" a="1"/>
  <c r="C2" i="49" s="1"/>
  <c r="B2" i="49" a="1"/>
  <c r="B2" i="49" s="1"/>
  <c r="A4" i="49"/>
  <c r="A5" i="49" s="1"/>
  <c r="A6" i="49" s="1"/>
  <c r="A7" i="49" s="1"/>
  <c r="A8" i="49" s="1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3" i="49"/>
  <c r="P7" i="42"/>
  <c r="P10" i="42"/>
  <c r="AX63" i="55"/>
  <c r="AY63" i="55" s="1"/>
  <c r="AO63" i="55"/>
  <c r="AP63" i="55" s="1"/>
  <c r="AD63" i="55"/>
  <c r="AF63" i="55"/>
  <c r="AG63" i="55" s="1"/>
  <c r="W63" i="55"/>
  <c r="X63" i="55" s="1"/>
  <c r="N63" i="55"/>
  <c r="O63" i="55" s="1"/>
  <c r="E63" i="55"/>
  <c r="AV63" i="55"/>
  <c r="AM63" i="55"/>
  <c r="AN63" i="55" s="1"/>
  <c r="AE63" i="55"/>
  <c r="U63" i="55"/>
  <c r="V63" i="55" s="1"/>
  <c r="L63" i="55"/>
  <c r="M63" i="55" s="1"/>
  <c r="C63" i="55"/>
  <c r="AW6" i="55"/>
  <c r="AW7" i="55"/>
  <c r="AW8" i="55"/>
  <c r="AW9" i="55"/>
  <c r="AW10" i="55"/>
  <c r="AW11" i="55"/>
  <c r="AW12" i="55"/>
  <c r="AW13" i="55"/>
  <c r="AW14" i="55"/>
  <c r="AW15" i="55"/>
  <c r="AW16" i="55"/>
  <c r="AW17" i="55"/>
  <c r="AW18" i="55"/>
  <c r="AW19" i="55"/>
  <c r="AW20" i="55"/>
  <c r="AW21" i="55"/>
  <c r="AW22" i="55"/>
  <c r="AW23" i="55"/>
  <c r="AW24" i="55"/>
  <c r="AW25" i="55"/>
  <c r="AW26" i="55"/>
  <c r="AW27" i="55"/>
  <c r="AW28" i="55"/>
  <c r="AW29" i="55"/>
  <c r="AW30" i="55"/>
  <c r="AW31" i="55"/>
  <c r="AW32" i="55"/>
  <c r="AW33" i="55"/>
  <c r="AW34" i="55"/>
  <c r="AW35" i="55"/>
  <c r="AW36" i="55"/>
  <c r="AW37" i="55"/>
  <c r="AW38" i="55"/>
  <c r="AW39" i="55"/>
  <c r="AW40" i="55"/>
  <c r="AW41" i="55"/>
  <c r="AW42" i="55"/>
  <c r="AW43" i="55"/>
  <c r="AW44" i="55"/>
  <c r="AW45" i="55"/>
  <c r="AW46" i="55"/>
  <c r="AW47" i="55"/>
  <c r="AW48" i="55"/>
  <c r="AW49" i="55"/>
  <c r="AW50" i="55"/>
  <c r="AW51" i="55"/>
  <c r="AW52" i="55"/>
  <c r="AW53" i="55"/>
  <c r="AW54" i="55"/>
  <c r="AW5" i="55"/>
  <c r="AV9" i="55"/>
  <c r="AV10" i="55"/>
  <c r="AV11" i="55"/>
  <c r="AV12" i="55"/>
  <c r="AV13" i="55"/>
  <c r="AV14" i="55"/>
  <c r="AV15" i="55"/>
  <c r="AV16" i="55"/>
  <c r="AV17" i="55"/>
  <c r="AV18" i="55"/>
  <c r="AV19" i="55"/>
  <c r="AV20" i="55"/>
  <c r="AV21" i="55"/>
  <c r="AV22" i="55"/>
  <c r="AV23" i="55"/>
  <c r="AV24" i="55"/>
  <c r="AV25" i="55"/>
  <c r="AV26" i="55"/>
  <c r="AV27" i="55"/>
  <c r="AV28" i="55"/>
  <c r="AV29" i="55"/>
  <c r="AV30" i="55"/>
  <c r="AV31" i="55"/>
  <c r="AV32" i="55"/>
  <c r="AV33" i="55"/>
  <c r="AV34" i="55"/>
  <c r="AV35" i="55"/>
  <c r="AV36" i="55"/>
  <c r="AV37" i="55"/>
  <c r="AV38" i="55"/>
  <c r="AV39" i="55"/>
  <c r="AV40" i="55"/>
  <c r="AV41" i="55"/>
  <c r="AV42" i="55"/>
  <c r="AV43" i="55"/>
  <c r="AV44" i="55"/>
  <c r="AV45" i="55"/>
  <c r="AV46" i="55"/>
  <c r="AV47" i="55"/>
  <c r="AV48" i="55"/>
  <c r="AV49" i="55"/>
  <c r="AV50" i="55"/>
  <c r="AV51" i="55"/>
  <c r="AV52" i="55"/>
  <c r="AV53" i="55"/>
  <c r="AV54" i="55"/>
  <c r="AV8" i="55"/>
  <c r="AV6" i="55"/>
  <c r="AV7" i="55"/>
  <c r="AV5" i="55"/>
  <c r="AN6" i="55"/>
  <c r="AN7" i="55"/>
  <c r="AN8" i="55"/>
  <c r="AN9" i="55"/>
  <c r="AN10" i="55"/>
  <c r="AN11" i="55"/>
  <c r="AN12" i="55"/>
  <c r="AN13" i="55"/>
  <c r="AN14" i="55"/>
  <c r="AN15" i="55"/>
  <c r="AN16" i="55"/>
  <c r="AN17" i="55"/>
  <c r="AN18" i="55"/>
  <c r="AN19" i="55"/>
  <c r="AN20" i="55"/>
  <c r="AN21" i="55"/>
  <c r="AN22" i="55"/>
  <c r="AN23" i="55"/>
  <c r="AN24" i="55"/>
  <c r="AN25" i="55"/>
  <c r="AN26" i="55"/>
  <c r="AN27" i="55"/>
  <c r="AN28" i="55"/>
  <c r="AN29" i="55"/>
  <c r="AN30" i="55"/>
  <c r="AN31" i="55"/>
  <c r="AN32" i="55"/>
  <c r="AN33" i="55"/>
  <c r="AN34" i="55"/>
  <c r="AN35" i="55"/>
  <c r="AN36" i="55"/>
  <c r="AN37" i="55"/>
  <c r="AN38" i="55"/>
  <c r="AN39" i="55"/>
  <c r="AN40" i="55"/>
  <c r="AN41" i="55"/>
  <c r="AN42" i="55"/>
  <c r="AN43" i="55"/>
  <c r="AN44" i="55"/>
  <c r="AN45" i="55"/>
  <c r="AN46" i="55"/>
  <c r="AN47" i="55"/>
  <c r="AN48" i="55"/>
  <c r="AN49" i="55"/>
  <c r="AN50" i="55"/>
  <c r="AN51" i="55"/>
  <c r="AN52" i="55"/>
  <c r="AN53" i="55"/>
  <c r="AN54" i="55"/>
  <c r="AN5" i="55"/>
  <c r="AM9" i="55"/>
  <c r="AM10" i="55"/>
  <c r="AM11" i="55"/>
  <c r="AM12" i="55"/>
  <c r="AM13" i="55"/>
  <c r="AM14" i="55"/>
  <c r="AM15" i="55"/>
  <c r="AM16" i="55"/>
  <c r="AM17" i="55"/>
  <c r="AM18" i="55"/>
  <c r="AM19" i="55"/>
  <c r="AM20" i="55"/>
  <c r="AM21" i="55"/>
  <c r="AM22" i="55"/>
  <c r="AM23" i="55"/>
  <c r="AM24" i="55"/>
  <c r="AM25" i="55"/>
  <c r="AM26" i="55"/>
  <c r="AM27" i="55"/>
  <c r="AM28" i="55"/>
  <c r="AM29" i="55"/>
  <c r="AM30" i="55"/>
  <c r="AM31" i="55"/>
  <c r="AM32" i="55"/>
  <c r="AM33" i="55"/>
  <c r="AM34" i="55"/>
  <c r="AM35" i="55"/>
  <c r="AM36" i="55"/>
  <c r="AM37" i="55"/>
  <c r="AM38" i="55"/>
  <c r="AM39" i="55"/>
  <c r="AM40" i="55"/>
  <c r="AM41" i="55"/>
  <c r="AM42" i="55"/>
  <c r="AM43" i="55"/>
  <c r="AM44" i="55"/>
  <c r="AM45" i="55"/>
  <c r="AM46" i="55"/>
  <c r="AM47" i="55"/>
  <c r="AM48" i="55"/>
  <c r="AM49" i="55"/>
  <c r="AM50" i="55"/>
  <c r="AM51" i="55"/>
  <c r="AM52" i="55"/>
  <c r="AM53" i="55"/>
  <c r="AM54" i="55"/>
  <c r="AM8" i="55"/>
  <c r="AM6" i="55"/>
  <c r="AM7" i="55"/>
  <c r="AM5" i="55"/>
  <c r="AE6" i="55"/>
  <c r="AE7" i="55"/>
  <c r="AE8" i="55"/>
  <c r="AE9" i="55"/>
  <c r="AE10" i="55"/>
  <c r="AE11" i="55"/>
  <c r="AE12" i="55"/>
  <c r="AE13" i="55"/>
  <c r="AE14" i="55"/>
  <c r="AE15" i="55"/>
  <c r="AE16" i="55"/>
  <c r="AE17" i="55"/>
  <c r="AE18" i="55"/>
  <c r="AE19" i="55"/>
  <c r="AE20" i="55"/>
  <c r="AE21" i="55"/>
  <c r="AE22" i="55"/>
  <c r="AE23" i="55"/>
  <c r="AE24" i="55"/>
  <c r="AE25" i="55"/>
  <c r="AE26" i="55"/>
  <c r="AE27" i="55"/>
  <c r="AE28" i="55"/>
  <c r="AE29" i="55"/>
  <c r="AE30" i="55"/>
  <c r="AE31" i="55"/>
  <c r="AE32" i="55"/>
  <c r="AE33" i="55"/>
  <c r="AE34" i="55"/>
  <c r="AE35" i="55"/>
  <c r="AE36" i="55"/>
  <c r="AE37" i="55"/>
  <c r="AE38" i="55"/>
  <c r="AE39" i="55"/>
  <c r="AE40" i="55"/>
  <c r="AE41" i="55"/>
  <c r="AE42" i="55"/>
  <c r="AE43" i="55"/>
  <c r="AE44" i="55"/>
  <c r="AE45" i="55"/>
  <c r="AE46" i="55"/>
  <c r="AE47" i="55"/>
  <c r="AE48" i="55"/>
  <c r="AE49" i="55"/>
  <c r="AE50" i="55"/>
  <c r="AE51" i="55"/>
  <c r="AE52" i="55"/>
  <c r="AE53" i="55"/>
  <c r="AE54" i="55"/>
  <c r="AE5" i="55"/>
  <c r="AD9" i="55"/>
  <c r="AD10" i="55"/>
  <c r="AD11" i="55"/>
  <c r="AD12" i="55"/>
  <c r="AD13" i="55"/>
  <c r="AD14" i="55"/>
  <c r="AD15" i="55"/>
  <c r="AD16" i="55"/>
  <c r="AD17" i="55"/>
  <c r="AD18" i="55"/>
  <c r="AD19" i="55"/>
  <c r="AD20" i="55"/>
  <c r="AD21" i="55"/>
  <c r="AD22" i="55"/>
  <c r="AD23" i="55"/>
  <c r="AD24" i="55"/>
  <c r="AD25" i="55"/>
  <c r="AD26" i="55"/>
  <c r="AD27" i="55"/>
  <c r="AD28" i="55"/>
  <c r="AD29" i="55"/>
  <c r="AD30" i="55"/>
  <c r="AD31" i="55"/>
  <c r="AD32" i="55"/>
  <c r="AD33" i="55"/>
  <c r="AD34" i="55"/>
  <c r="AD35" i="55"/>
  <c r="AD36" i="55"/>
  <c r="AD37" i="55"/>
  <c r="AD38" i="55"/>
  <c r="AD39" i="55"/>
  <c r="AD40" i="55"/>
  <c r="AD41" i="55"/>
  <c r="AD42" i="55"/>
  <c r="AD43" i="55"/>
  <c r="AD44" i="55"/>
  <c r="AD45" i="55"/>
  <c r="AD46" i="55"/>
  <c r="AD47" i="55"/>
  <c r="AD48" i="55"/>
  <c r="AD49" i="55"/>
  <c r="AD50" i="55"/>
  <c r="AD51" i="55"/>
  <c r="AD52" i="55"/>
  <c r="AD53" i="55"/>
  <c r="AD54" i="55"/>
  <c r="AD8" i="55"/>
  <c r="AD6" i="55"/>
  <c r="AD7" i="55"/>
  <c r="AD5" i="55"/>
  <c r="V6" i="55"/>
  <c r="V7" i="55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V32" i="55"/>
  <c r="V33" i="55"/>
  <c r="V34" i="55"/>
  <c r="V35" i="55"/>
  <c r="V36" i="55"/>
  <c r="V37" i="55"/>
  <c r="V38" i="55"/>
  <c r="V39" i="55"/>
  <c r="V40" i="55"/>
  <c r="V41" i="55"/>
  <c r="V42" i="55"/>
  <c r="V43" i="55"/>
  <c r="V44" i="55"/>
  <c r="V45" i="55"/>
  <c r="V46" i="55"/>
  <c r="V47" i="55"/>
  <c r="V48" i="55"/>
  <c r="V49" i="55"/>
  <c r="V50" i="55"/>
  <c r="V51" i="55"/>
  <c r="V52" i="55"/>
  <c r="V53" i="55"/>
  <c r="V54" i="55"/>
  <c r="V5" i="55"/>
  <c r="U9" i="55"/>
  <c r="U10" i="55"/>
  <c r="U11" i="55"/>
  <c r="U12" i="55"/>
  <c r="U13" i="55"/>
  <c r="U14" i="55"/>
  <c r="U15" i="55"/>
  <c r="U16" i="55"/>
  <c r="U17" i="55"/>
  <c r="U18" i="55"/>
  <c r="U19" i="55"/>
  <c r="U20" i="55"/>
  <c r="U21" i="55"/>
  <c r="U22" i="55"/>
  <c r="U23" i="55"/>
  <c r="U24" i="55"/>
  <c r="U25" i="55"/>
  <c r="U26" i="55"/>
  <c r="U27" i="55"/>
  <c r="U28" i="55"/>
  <c r="U29" i="55"/>
  <c r="U30" i="55"/>
  <c r="U31" i="55"/>
  <c r="U32" i="55"/>
  <c r="U33" i="55"/>
  <c r="U34" i="55"/>
  <c r="U35" i="55"/>
  <c r="U36" i="55"/>
  <c r="U37" i="55"/>
  <c r="U38" i="55"/>
  <c r="U39" i="55"/>
  <c r="U40" i="55"/>
  <c r="U41" i="55"/>
  <c r="U42" i="55"/>
  <c r="U43" i="55"/>
  <c r="U44" i="55"/>
  <c r="U45" i="55"/>
  <c r="U46" i="55"/>
  <c r="U47" i="55"/>
  <c r="U48" i="55"/>
  <c r="U49" i="55"/>
  <c r="U50" i="55"/>
  <c r="U51" i="55"/>
  <c r="U52" i="55"/>
  <c r="U53" i="55"/>
  <c r="U54" i="55"/>
  <c r="U8" i="55"/>
  <c r="U6" i="55"/>
  <c r="U7" i="55"/>
  <c r="U5" i="55"/>
  <c r="M6" i="55"/>
  <c r="M7" i="55"/>
  <c r="M8" i="55"/>
  <c r="M9" i="55"/>
  <c r="M10" i="55"/>
  <c r="M11" i="55"/>
  <c r="M12" i="55"/>
  <c r="M13" i="55"/>
  <c r="M14" i="55"/>
  <c r="M15" i="55"/>
  <c r="M16" i="55"/>
  <c r="M17" i="55"/>
  <c r="M18" i="55"/>
  <c r="M19" i="55"/>
  <c r="M20" i="55"/>
  <c r="M21" i="55"/>
  <c r="M22" i="55"/>
  <c r="M23" i="55"/>
  <c r="M24" i="55"/>
  <c r="M25" i="55"/>
  <c r="M26" i="55"/>
  <c r="M27" i="55"/>
  <c r="M28" i="55"/>
  <c r="M29" i="55"/>
  <c r="M30" i="55"/>
  <c r="M31" i="55"/>
  <c r="M32" i="55"/>
  <c r="M33" i="55"/>
  <c r="M34" i="55"/>
  <c r="M35" i="55"/>
  <c r="M36" i="55"/>
  <c r="M37" i="55"/>
  <c r="M38" i="55"/>
  <c r="M39" i="55"/>
  <c r="M40" i="55"/>
  <c r="M41" i="55"/>
  <c r="M42" i="55"/>
  <c r="M43" i="55"/>
  <c r="M44" i="55"/>
  <c r="M45" i="55"/>
  <c r="M46" i="55"/>
  <c r="M47" i="55"/>
  <c r="M48" i="55"/>
  <c r="M49" i="55"/>
  <c r="M50" i="55"/>
  <c r="M51" i="55"/>
  <c r="M52" i="55"/>
  <c r="M53" i="55"/>
  <c r="M54" i="55"/>
  <c r="M5" i="55"/>
  <c r="L9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6" i="55"/>
  <c r="L47" i="55"/>
  <c r="L48" i="55"/>
  <c r="L49" i="55"/>
  <c r="L50" i="55"/>
  <c r="L51" i="55"/>
  <c r="L52" i="55"/>
  <c r="L53" i="55"/>
  <c r="L54" i="55"/>
  <c r="L8" i="55"/>
  <c r="L6" i="55"/>
  <c r="L7" i="55"/>
  <c r="L5" i="55"/>
  <c r="D6" i="55"/>
  <c r="D7" i="55"/>
  <c r="D8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39" i="55"/>
  <c r="D40" i="55"/>
  <c r="D41" i="55"/>
  <c r="D42" i="55"/>
  <c r="D43" i="55"/>
  <c r="D44" i="55"/>
  <c r="D45" i="55"/>
  <c r="D46" i="55"/>
  <c r="D47" i="55"/>
  <c r="D48" i="55"/>
  <c r="D49" i="55"/>
  <c r="D50" i="55"/>
  <c r="D51" i="55"/>
  <c r="D52" i="55"/>
  <c r="D53" i="55"/>
  <c r="D54" i="55"/>
  <c r="D5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50" i="55"/>
  <c r="C51" i="55"/>
  <c r="C52" i="55"/>
  <c r="C53" i="55"/>
  <c r="C54" i="55"/>
  <c r="C9" i="55"/>
  <c r="C10" i="55"/>
  <c r="C8" i="55"/>
  <c r="C6" i="55"/>
  <c r="C7" i="55"/>
  <c r="C5" i="55"/>
  <c r="AW63" i="55"/>
  <c r="AY62" i="55"/>
  <c r="AW62" i="55"/>
  <c r="AZ62" i="55" s="1"/>
  <c r="BA62" i="55" s="1"/>
  <c r="AY61" i="55"/>
  <c r="AW61" i="55"/>
  <c r="AZ61" i="55" s="1"/>
  <c r="BA61" i="55" s="1"/>
  <c r="AY60" i="55"/>
  <c r="AW60" i="55"/>
  <c r="AZ60" i="55" s="1"/>
  <c r="BA60" i="55" s="1"/>
  <c r="AT60" i="55"/>
  <c r="AT60" i="55" a="1"/>
  <c r="AU8" i="55"/>
  <c r="AU9" i="55" s="1"/>
  <c r="AU7" i="55"/>
  <c r="AU6" i="55"/>
  <c r="AT5" i="55"/>
  <c r="AT5" i="55" a="1"/>
  <c r="AP62" i="55"/>
  <c r="AN62" i="55"/>
  <c r="AP61" i="55"/>
  <c r="AN61" i="55"/>
  <c r="AQ61" i="55" s="1"/>
  <c r="AR61" i="55" s="1"/>
  <c r="AP60" i="55"/>
  <c r="AN60" i="55"/>
  <c r="AQ60" i="55" s="1"/>
  <c r="AR60" i="55" s="1"/>
  <c r="AK60" i="55" a="1"/>
  <c r="AK60" i="55" s="1"/>
  <c r="AL8" i="55"/>
  <c r="AL9" i="55" s="1"/>
  <c r="AL7" i="55"/>
  <c r="AL6" i="55"/>
  <c r="AK5" i="55" a="1"/>
  <c r="AK5" i="55" s="1"/>
  <c r="AG62" i="55"/>
  <c r="AE62" i="55"/>
  <c r="AH62" i="55" s="1"/>
  <c r="AI62" i="55" s="1"/>
  <c r="AG61" i="55"/>
  <c r="AE61" i="55"/>
  <c r="AG60" i="55"/>
  <c r="AE60" i="55"/>
  <c r="AB60" i="55"/>
  <c r="AB60" i="55" a="1"/>
  <c r="AC7" i="55"/>
  <c r="AC8" i="55" s="1"/>
  <c r="AC9" i="55" s="1"/>
  <c r="AC10" i="55" s="1"/>
  <c r="AC11" i="55" s="1"/>
  <c r="AC12" i="55" s="1"/>
  <c r="AC13" i="55" s="1"/>
  <c r="AC14" i="55" s="1"/>
  <c r="AC15" i="55" s="1"/>
  <c r="AC16" i="55" s="1"/>
  <c r="AC17" i="55" s="1"/>
  <c r="AC18" i="55" s="1"/>
  <c r="AC19" i="55" s="1"/>
  <c r="AC20" i="55" s="1"/>
  <c r="AC21" i="55" s="1"/>
  <c r="AC22" i="55" s="1"/>
  <c r="AC23" i="55" s="1"/>
  <c r="AC24" i="55" s="1"/>
  <c r="AC25" i="55" s="1"/>
  <c r="AC26" i="55" s="1"/>
  <c r="AC27" i="55" s="1"/>
  <c r="AC28" i="55" s="1"/>
  <c r="AC29" i="55" s="1"/>
  <c r="AC30" i="55" s="1"/>
  <c r="AC31" i="55" s="1"/>
  <c r="AC32" i="55" s="1"/>
  <c r="AC33" i="55" s="1"/>
  <c r="AC34" i="55" s="1"/>
  <c r="AC35" i="55" s="1"/>
  <c r="AC36" i="55" s="1"/>
  <c r="AC37" i="55" s="1"/>
  <c r="AC38" i="55" s="1"/>
  <c r="AC39" i="55" s="1"/>
  <c r="AC40" i="55" s="1"/>
  <c r="AC41" i="55" s="1"/>
  <c r="AC42" i="55" s="1"/>
  <c r="AC43" i="55" s="1"/>
  <c r="AC44" i="55" s="1"/>
  <c r="AC45" i="55" s="1"/>
  <c r="AC46" i="55" s="1"/>
  <c r="AC47" i="55" s="1"/>
  <c r="AC48" i="55" s="1"/>
  <c r="AC49" i="55" s="1"/>
  <c r="AC50" i="55" s="1"/>
  <c r="AC51" i="55" s="1"/>
  <c r="AC52" i="55" s="1"/>
  <c r="AC53" i="55" s="1"/>
  <c r="AC54" i="55" s="1"/>
  <c r="AC6" i="55"/>
  <c r="AB5" i="55" a="1"/>
  <c r="AB5" i="55" s="1"/>
  <c r="X62" i="55"/>
  <c r="V62" i="55"/>
  <c r="Y62" i="55" s="1"/>
  <c r="Z62" i="55" s="1"/>
  <c r="X61" i="55"/>
  <c r="V61" i="55"/>
  <c r="X60" i="55"/>
  <c r="V60" i="55"/>
  <c r="Y60" i="55" s="1"/>
  <c r="Z60" i="55" s="1"/>
  <c r="S60" i="55" a="1"/>
  <c r="S60" i="55" s="1"/>
  <c r="T8" i="55"/>
  <c r="T7" i="55"/>
  <c r="T6" i="55"/>
  <c r="S5" i="55" a="1"/>
  <c r="S5" i="55" s="1"/>
  <c r="O62" i="55"/>
  <c r="M62" i="55"/>
  <c r="O61" i="55"/>
  <c r="M61" i="55"/>
  <c r="P61" i="55" s="1"/>
  <c r="Q61" i="55" s="1"/>
  <c r="O60" i="55"/>
  <c r="M60" i="55"/>
  <c r="P60" i="55" s="1"/>
  <c r="Q60" i="55" s="1"/>
  <c r="J60" i="55" a="1"/>
  <c r="J60" i="55" s="1"/>
  <c r="K8" i="55"/>
  <c r="K9" i="55" s="1"/>
  <c r="K10" i="55" s="1"/>
  <c r="K11" i="55" s="1"/>
  <c r="K12" i="55" s="1"/>
  <c r="K13" i="55" s="1"/>
  <c r="K14" i="55" s="1"/>
  <c r="K15" i="55" s="1"/>
  <c r="K16" i="55" s="1"/>
  <c r="K17" i="55" s="1"/>
  <c r="K18" i="55" s="1"/>
  <c r="K19" i="55" s="1"/>
  <c r="K20" i="55" s="1"/>
  <c r="K21" i="55" s="1"/>
  <c r="K22" i="55" s="1"/>
  <c r="K23" i="55" s="1"/>
  <c r="K24" i="55" s="1"/>
  <c r="K25" i="55" s="1"/>
  <c r="K26" i="55" s="1"/>
  <c r="K27" i="55" s="1"/>
  <c r="K28" i="55" s="1"/>
  <c r="K29" i="55" s="1"/>
  <c r="K30" i="55" s="1"/>
  <c r="K31" i="55" s="1"/>
  <c r="K32" i="55" s="1"/>
  <c r="K33" i="55" s="1"/>
  <c r="K34" i="55" s="1"/>
  <c r="K35" i="55" s="1"/>
  <c r="K36" i="55" s="1"/>
  <c r="K37" i="55" s="1"/>
  <c r="K38" i="55" s="1"/>
  <c r="K39" i="55" s="1"/>
  <c r="K40" i="55" s="1"/>
  <c r="K41" i="55" s="1"/>
  <c r="K42" i="55" s="1"/>
  <c r="K43" i="55" s="1"/>
  <c r="K44" i="55" s="1"/>
  <c r="K45" i="55" s="1"/>
  <c r="K46" i="55" s="1"/>
  <c r="K47" i="55" s="1"/>
  <c r="K48" i="55" s="1"/>
  <c r="K49" i="55" s="1"/>
  <c r="K50" i="55" s="1"/>
  <c r="K51" i="55" s="1"/>
  <c r="K52" i="55" s="1"/>
  <c r="K53" i="55" s="1"/>
  <c r="K54" i="55" s="1"/>
  <c r="K7" i="55"/>
  <c r="K6" i="55"/>
  <c r="J5" i="55" a="1"/>
  <c r="J5" i="55" s="1"/>
  <c r="F63" i="55"/>
  <c r="D63" i="55"/>
  <c r="F62" i="55"/>
  <c r="D62" i="55"/>
  <c r="F61" i="55"/>
  <c r="D61" i="55"/>
  <c r="F60" i="55"/>
  <c r="D60" i="55"/>
  <c r="A60" i="55" a="1"/>
  <c r="A60" i="55" s="1"/>
  <c r="B8" i="55"/>
  <c r="B9" i="55" s="1"/>
  <c r="B7" i="55"/>
  <c r="B6" i="55"/>
  <c r="A5" i="55" a="1"/>
  <c r="A5" i="55" s="1"/>
  <c r="AP63" i="51"/>
  <c r="AZ63" i="55" l="1"/>
  <c r="BA63" i="55" s="1"/>
  <c r="BA64" i="55" s="1"/>
  <c r="AQ62" i="55"/>
  <c r="AR62" i="55" s="1"/>
  <c r="AQ63" i="55"/>
  <c r="AR63" i="55" s="1"/>
  <c r="AH60" i="55"/>
  <c r="AI60" i="55" s="1"/>
  <c r="P62" i="55"/>
  <c r="Q62" i="55" s="1"/>
  <c r="P63" i="55"/>
  <c r="Q63" i="55" s="1"/>
  <c r="Q64" i="55" s="1"/>
  <c r="G63" i="55"/>
  <c r="H63" i="55" s="1"/>
  <c r="G62" i="55"/>
  <c r="H62" i="55" s="1"/>
  <c r="G61" i="55"/>
  <c r="H61" i="55" s="1"/>
  <c r="G60" i="55"/>
  <c r="H60" i="55" s="1"/>
  <c r="AH61" i="55"/>
  <c r="AI61" i="55" s="1"/>
  <c r="Y61" i="55"/>
  <c r="Z61" i="55" s="1"/>
  <c r="Y63" i="55"/>
  <c r="Z63" i="55" s="1"/>
  <c r="AU10" i="55"/>
  <c r="AU11" i="55" s="1"/>
  <c r="AU12" i="55" s="1"/>
  <c r="AU13" i="55" s="1"/>
  <c r="AU14" i="55" s="1"/>
  <c r="AU15" i="55" s="1"/>
  <c r="AU16" i="55" s="1"/>
  <c r="AU17" i="55" s="1"/>
  <c r="AU18" i="55" s="1"/>
  <c r="AU19" i="55" s="1"/>
  <c r="AU20" i="55" s="1"/>
  <c r="AU21" i="55" s="1"/>
  <c r="AU22" i="55" s="1"/>
  <c r="AU23" i="55" s="1"/>
  <c r="AU24" i="55" s="1"/>
  <c r="AU25" i="55" s="1"/>
  <c r="AU26" i="55" s="1"/>
  <c r="AU27" i="55" s="1"/>
  <c r="AU28" i="55" s="1"/>
  <c r="AU29" i="55" s="1"/>
  <c r="AU30" i="55" s="1"/>
  <c r="AU31" i="55" s="1"/>
  <c r="AU32" i="55" s="1"/>
  <c r="AU33" i="55" s="1"/>
  <c r="AU34" i="55" s="1"/>
  <c r="AU35" i="55" s="1"/>
  <c r="AU36" i="55" s="1"/>
  <c r="AU37" i="55" s="1"/>
  <c r="AU38" i="55" s="1"/>
  <c r="AU39" i="55" s="1"/>
  <c r="AU40" i="55" s="1"/>
  <c r="AU41" i="55" s="1"/>
  <c r="AU42" i="55" s="1"/>
  <c r="AU43" i="55" s="1"/>
  <c r="AU44" i="55" s="1"/>
  <c r="AU45" i="55" s="1"/>
  <c r="AU46" i="55" s="1"/>
  <c r="AU47" i="55" s="1"/>
  <c r="AU48" i="55" s="1"/>
  <c r="AU49" i="55" s="1"/>
  <c r="AU50" i="55" s="1"/>
  <c r="AU51" i="55" s="1"/>
  <c r="AU52" i="55" s="1"/>
  <c r="AU53" i="55" s="1"/>
  <c r="AU54" i="55" s="1"/>
  <c r="AX5" i="55" s="1" a="1"/>
  <c r="AX5" i="55" s="1"/>
  <c r="AY5" i="55" a="1"/>
  <c r="AY5" i="55" s="1"/>
  <c r="AL10" i="55"/>
  <c r="AL11" i="55" s="1"/>
  <c r="AL12" i="55" s="1"/>
  <c r="AL13" i="55" s="1"/>
  <c r="AL14" i="55" s="1"/>
  <c r="AL15" i="55" s="1"/>
  <c r="AL16" i="55" s="1"/>
  <c r="AL17" i="55" s="1"/>
  <c r="AL18" i="55" s="1"/>
  <c r="AL19" i="55" s="1"/>
  <c r="AL20" i="55" s="1"/>
  <c r="AL21" i="55" s="1"/>
  <c r="AL22" i="55" s="1"/>
  <c r="AL23" i="55" s="1"/>
  <c r="AL24" i="55" s="1"/>
  <c r="AL25" i="55" s="1"/>
  <c r="AL26" i="55" s="1"/>
  <c r="AL27" i="55" s="1"/>
  <c r="AL28" i="55" s="1"/>
  <c r="AL29" i="55" s="1"/>
  <c r="AL30" i="55" s="1"/>
  <c r="AL31" i="55" s="1"/>
  <c r="AL32" i="55" s="1"/>
  <c r="AL33" i="55" s="1"/>
  <c r="AL34" i="55" s="1"/>
  <c r="AL35" i="55" s="1"/>
  <c r="AL36" i="55" s="1"/>
  <c r="AL37" i="55" s="1"/>
  <c r="AL38" i="55" s="1"/>
  <c r="AL39" i="55" s="1"/>
  <c r="AL40" i="55" s="1"/>
  <c r="AL41" i="55" s="1"/>
  <c r="AL42" i="55" s="1"/>
  <c r="AL43" i="55" s="1"/>
  <c r="AL44" i="55" s="1"/>
  <c r="AL45" i="55" s="1"/>
  <c r="AL46" i="55" s="1"/>
  <c r="AL47" i="55" s="1"/>
  <c r="AL48" i="55" s="1"/>
  <c r="AL49" i="55" s="1"/>
  <c r="AL50" i="55" s="1"/>
  <c r="AL51" i="55" s="1"/>
  <c r="AL52" i="55" s="1"/>
  <c r="AL53" i="55" s="1"/>
  <c r="AL54" i="55" s="1"/>
  <c r="AR64" i="55"/>
  <c r="AP5" i="55" a="1"/>
  <c r="AP5" i="55" s="1"/>
  <c r="AO5" i="55" a="1"/>
  <c r="AO5" i="55" s="1"/>
  <c r="AH63" i="55"/>
  <c r="AI63" i="55" s="1"/>
  <c r="AI64" i="55"/>
  <c r="AF5" i="55" a="1"/>
  <c r="AF5" i="55" s="1"/>
  <c r="AG5" i="55" a="1"/>
  <c r="AG5" i="55" s="1"/>
  <c r="Z64" i="55"/>
  <c r="T9" i="55"/>
  <c r="O5" i="55" a="1"/>
  <c r="O5" i="55" s="1"/>
  <c r="N5" i="55" a="1"/>
  <c r="N5" i="55" s="1"/>
  <c r="B10" i="55"/>
  <c r="B11" i="55" s="1"/>
  <c r="B12" i="55" s="1"/>
  <c r="B13" i="55" s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B27" i="55" s="1"/>
  <c r="B28" i="55" s="1"/>
  <c r="B29" i="55" s="1"/>
  <c r="B30" i="55" s="1"/>
  <c r="B31" i="55" s="1"/>
  <c r="B32" i="55" s="1"/>
  <c r="B33" i="55" s="1"/>
  <c r="B34" i="55" s="1"/>
  <c r="B35" i="55" s="1"/>
  <c r="B36" i="55" s="1"/>
  <c r="B37" i="55" s="1"/>
  <c r="B38" i="55" s="1"/>
  <c r="B39" i="55" s="1"/>
  <c r="B40" i="55" s="1"/>
  <c r="B41" i="55" s="1"/>
  <c r="B42" i="55" s="1"/>
  <c r="B43" i="55" s="1"/>
  <c r="B44" i="55" s="1"/>
  <c r="B45" i="55" s="1"/>
  <c r="B46" i="55" s="1"/>
  <c r="B47" i="55" s="1"/>
  <c r="B48" i="55" s="1"/>
  <c r="B49" i="55" s="1"/>
  <c r="B50" i="55" s="1"/>
  <c r="B51" i="55" s="1"/>
  <c r="B52" i="55" s="1"/>
  <c r="B53" i="55" s="1"/>
  <c r="B54" i="55" s="1"/>
  <c r="H64" i="55"/>
  <c r="E5" i="55" a="1"/>
  <c r="E5" i="55" s="1"/>
  <c r="AQ52" i="55" l="1"/>
  <c r="AR52" i="55" s="1"/>
  <c r="AQ48" i="55"/>
  <c r="AR48" i="55" s="1"/>
  <c r="AQ44" i="55"/>
  <c r="AR44" i="55" s="1"/>
  <c r="AQ40" i="55"/>
  <c r="AR40" i="55" s="1"/>
  <c r="AQ36" i="55"/>
  <c r="AR36" i="55" s="1"/>
  <c r="AQ32" i="55"/>
  <c r="AR32" i="55" s="1"/>
  <c r="AQ28" i="55"/>
  <c r="AR28" i="55" s="1"/>
  <c r="AQ24" i="55"/>
  <c r="AR24" i="55" s="1"/>
  <c r="AQ20" i="55"/>
  <c r="AR20" i="55" s="1"/>
  <c r="AQ16" i="55"/>
  <c r="AR16" i="55" s="1"/>
  <c r="AQ12" i="55"/>
  <c r="AR12" i="55" s="1"/>
  <c r="AQ8" i="55"/>
  <c r="AR8" i="55" s="1"/>
  <c r="AQ53" i="55"/>
  <c r="AR53" i="55" s="1"/>
  <c r="AQ49" i="55"/>
  <c r="AR49" i="55" s="1"/>
  <c r="AQ45" i="55"/>
  <c r="AR45" i="55" s="1"/>
  <c r="AQ37" i="55"/>
  <c r="AR37" i="55" s="1"/>
  <c r="AQ33" i="55"/>
  <c r="AR33" i="55" s="1"/>
  <c r="AQ29" i="55"/>
  <c r="AR29" i="55" s="1"/>
  <c r="AQ21" i="55"/>
  <c r="AR21" i="55" s="1"/>
  <c r="AQ17" i="55"/>
  <c r="AR17" i="55" s="1"/>
  <c r="AQ9" i="55"/>
  <c r="AR9" i="55" s="1"/>
  <c r="AQ51" i="55"/>
  <c r="AR51" i="55" s="1"/>
  <c r="AQ47" i="55"/>
  <c r="AR47" i="55" s="1"/>
  <c r="AQ43" i="55"/>
  <c r="AR43" i="55" s="1"/>
  <c r="AQ39" i="55"/>
  <c r="AR39" i="55" s="1"/>
  <c r="AQ35" i="55"/>
  <c r="AR35" i="55" s="1"/>
  <c r="AQ31" i="55"/>
  <c r="AR31" i="55" s="1"/>
  <c r="AQ27" i="55"/>
  <c r="AR27" i="55" s="1"/>
  <c r="AQ23" i="55"/>
  <c r="AR23" i="55" s="1"/>
  <c r="AQ19" i="55"/>
  <c r="AR19" i="55" s="1"/>
  <c r="AQ15" i="55"/>
  <c r="AR15" i="55" s="1"/>
  <c r="AQ11" i="55"/>
  <c r="AR11" i="55" s="1"/>
  <c r="AQ7" i="55"/>
  <c r="AR7" i="55" s="1"/>
  <c r="AQ41" i="55"/>
  <c r="AR41" i="55" s="1"/>
  <c r="AQ25" i="55"/>
  <c r="AR25" i="55" s="1"/>
  <c r="AQ13" i="55"/>
  <c r="AR13" i="55" s="1"/>
  <c r="AQ54" i="55"/>
  <c r="AR54" i="55" s="1"/>
  <c r="AQ50" i="55"/>
  <c r="AR50" i="55" s="1"/>
  <c r="AQ46" i="55"/>
  <c r="AR46" i="55" s="1"/>
  <c r="AQ42" i="55"/>
  <c r="AR42" i="55" s="1"/>
  <c r="AQ38" i="55"/>
  <c r="AR38" i="55" s="1"/>
  <c r="AQ34" i="55"/>
  <c r="AR34" i="55" s="1"/>
  <c r="AQ30" i="55"/>
  <c r="AR30" i="55" s="1"/>
  <c r="AQ26" i="55"/>
  <c r="AR26" i="55" s="1"/>
  <c r="AQ22" i="55"/>
  <c r="AR22" i="55" s="1"/>
  <c r="AQ18" i="55"/>
  <c r="AR18" i="55" s="1"/>
  <c r="AQ14" i="55"/>
  <c r="AR14" i="55" s="1"/>
  <c r="AQ10" i="55"/>
  <c r="AR10" i="55" s="1"/>
  <c r="AH53" i="55"/>
  <c r="AI53" i="55" s="1"/>
  <c r="AH49" i="55"/>
  <c r="AI49" i="55" s="1"/>
  <c r="AH45" i="55"/>
  <c r="AI45" i="55" s="1"/>
  <c r="AH41" i="55"/>
  <c r="AI41" i="55" s="1"/>
  <c r="AH37" i="55"/>
  <c r="AI37" i="55" s="1"/>
  <c r="AH33" i="55"/>
  <c r="AI33" i="55" s="1"/>
  <c r="AH29" i="55"/>
  <c r="AI29" i="55" s="1"/>
  <c r="AH25" i="55"/>
  <c r="AI25" i="55" s="1"/>
  <c r="AH21" i="55"/>
  <c r="AI21" i="55" s="1"/>
  <c r="AH17" i="55"/>
  <c r="AI17" i="55" s="1"/>
  <c r="AH13" i="55"/>
  <c r="AI13" i="55" s="1"/>
  <c r="AH9" i="55"/>
  <c r="AI9" i="55" s="1"/>
  <c r="AH52" i="55"/>
  <c r="AI52" i="55" s="1"/>
  <c r="AH48" i="55"/>
  <c r="AI48" i="55" s="1"/>
  <c r="AH44" i="55"/>
  <c r="AI44" i="55" s="1"/>
  <c r="AH40" i="55"/>
  <c r="AI40" i="55" s="1"/>
  <c r="AH36" i="55"/>
  <c r="AI36" i="55" s="1"/>
  <c r="AH32" i="55"/>
  <c r="AI32" i="55" s="1"/>
  <c r="AH28" i="55"/>
  <c r="AI28" i="55" s="1"/>
  <c r="AH24" i="55"/>
  <c r="AI24" i="55" s="1"/>
  <c r="AH20" i="55"/>
  <c r="AI20" i="55" s="1"/>
  <c r="AH16" i="55"/>
  <c r="AI16" i="55" s="1"/>
  <c r="AH12" i="55"/>
  <c r="AI12" i="55" s="1"/>
  <c r="AH8" i="55"/>
  <c r="AI8" i="55" s="1"/>
  <c r="AH51" i="55"/>
  <c r="AI51" i="55" s="1"/>
  <c r="AH47" i="55"/>
  <c r="AI47" i="55" s="1"/>
  <c r="AH43" i="55"/>
  <c r="AI43" i="55" s="1"/>
  <c r="AH39" i="55"/>
  <c r="AI39" i="55" s="1"/>
  <c r="AH35" i="55"/>
  <c r="AI35" i="55" s="1"/>
  <c r="AH31" i="55"/>
  <c r="AI31" i="55" s="1"/>
  <c r="AH27" i="55"/>
  <c r="AI27" i="55" s="1"/>
  <c r="AH23" i="55"/>
  <c r="AI23" i="55" s="1"/>
  <c r="AH19" i="55"/>
  <c r="AI19" i="55" s="1"/>
  <c r="AH15" i="55"/>
  <c r="AI15" i="55" s="1"/>
  <c r="AH11" i="55"/>
  <c r="AI11" i="55" s="1"/>
  <c r="AH7" i="55"/>
  <c r="AI7" i="55" s="1"/>
  <c r="AH54" i="55"/>
  <c r="AI54" i="55" s="1"/>
  <c r="AH50" i="55"/>
  <c r="AI50" i="55" s="1"/>
  <c r="AH46" i="55"/>
  <c r="AI46" i="55" s="1"/>
  <c r="AH42" i="55"/>
  <c r="AI42" i="55" s="1"/>
  <c r="AH38" i="55"/>
  <c r="AI38" i="55" s="1"/>
  <c r="AH34" i="55"/>
  <c r="AI34" i="55" s="1"/>
  <c r="AH30" i="55"/>
  <c r="AI30" i="55" s="1"/>
  <c r="AH26" i="55"/>
  <c r="AI26" i="55" s="1"/>
  <c r="AH22" i="55"/>
  <c r="AI22" i="55" s="1"/>
  <c r="AH18" i="55"/>
  <c r="AI18" i="55" s="1"/>
  <c r="AH14" i="55"/>
  <c r="AI14" i="55" s="1"/>
  <c r="AH10" i="55"/>
  <c r="AI10" i="55" s="1"/>
  <c r="T10" i="55"/>
  <c r="P39" i="55"/>
  <c r="Q39" i="55" s="1"/>
  <c r="P32" i="55"/>
  <c r="Q32" i="55" s="1"/>
  <c r="P54" i="55"/>
  <c r="Q54" i="55" s="1"/>
  <c r="P19" i="55"/>
  <c r="Q19" i="55" s="1"/>
  <c r="P43" i="55"/>
  <c r="Q43" i="55" s="1"/>
  <c r="P25" i="55"/>
  <c r="Q25" i="55" s="1"/>
  <c r="P48" i="55"/>
  <c r="Q48" i="55" s="1"/>
  <c r="P8" i="55"/>
  <c r="Q8" i="55" s="1"/>
  <c r="P44" i="55"/>
  <c r="Q44" i="55" s="1"/>
  <c r="P10" i="55"/>
  <c r="Q10" i="55" s="1"/>
  <c r="P9" i="55"/>
  <c r="Q9" i="55" s="1"/>
  <c r="P14" i="55"/>
  <c r="Q14" i="55" s="1"/>
  <c r="P13" i="55"/>
  <c r="Q13" i="55" s="1"/>
  <c r="P18" i="55"/>
  <c r="Q18" i="55" s="1"/>
  <c r="P23" i="55"/>
  <c r="Q23" i="55" s="1"/>
  <c r="P17" i="55"/>
  <c r="Q17" i="55" s="1"/>
  <c r="P35" i="55"/>
  <c r="Q35" i="55" s="1"/>
  <c r="P26" i="55"/>
  <c r="Q26" i="55" s="1"/>
  <c r="P30" i="55"/>
  <c r="Q30" i="55" s="1"/>
  <c r="P29" i="55"/>
  <c r="Q29" i="55" s="1"/>
  <c r="P53" i="55"/>
  <c r="Q53" i="55" s="1"/>
  <c r="P11" i="55"/>
  <c r="Q11" i="55" s="1"/>
  <c r="P15" i="55"/>
  <c r="Q15" i="55" s="1"/>
  <c r="P27" i="55"/>
  <c r="Q27" i="55" s="1"/>
  <c r="P22" i="55"/>
  <c r="Q22" i="55" s="1"/>
  <c r="P31" i="55"/>
  <c r="Q31" i="55" s="1"/>
  <c r="P21" i="55"/>
  <c r="Q21" i="55" s="1"/>
  <c r="P51" i="55"/>
  <c r="Q51" i="55" s="1"/>
  <c r="P34" i="55"/>
  <c r="Q34" i="55" s="1"/>
  <c r="P16" i="55"/>
  <c r="Q16" i="55" s="1"/>
  <c r="P33" i="55"/>
  <c r="Q33" i="55" s="1"/>
  <c r="P37" i="55"/>
  <c r="Q37" i="55" s="1"/>
  <c r="P28" i="55"/>
  <c r="Q28" i="55" s="1"/>
  <c r="P41" i="55"/>
  <c r="Q41" i="55" s="1"/>
  <c r="P12" i="55"/>
  <c r="Q12" i="55" s="1"/>
  <c r="P46" i="55"/>
  <c r="Q46" i="55" s="1"/>
  <c r="P36" i="55"/>
  <c r="Q36" i="55" s="1"/>
  <c r="P45" i="55"/>
  <c r="Q45" i="55" s="1"/>
  <c r="P52" i="55"/>
  <c r="Q52" i="55" s="1"/>
  <c r="P38" i="55"/>
  <c r="Q38" i="55" s="1"/>
  <c r="P24" i="55"/>
  <c r="Q24" i="55" s="1"/>
  <c r="P7" i="55"/>
  <c r="Q7" i="55" s="1"/>
  <c r="P42" i="55"/>
  <c r="Q42" i="55" s="1"/>
  <c r="P47" i="55"/>
  <c r="Q47" i="55" s="1"/>
  <c r="P20" i="55"/>
  <c r="Q20" i="55" s="1"/>
  <c r="P50" i="55"/>
  <c r="Q50" i="55" s="1"/>
  <c r="P40" i="55"/>
  <c r="Q40" i="55" s="1"/>
  <c r="P49" i="55"/>
  <c r="Q49" i="55" s="1"/>
  <c r="F5" i="55" a="1"/>
  <c r="F5" i="55" l="1"/>
  <c r="G7" i="55"/>
  <c r="AZ53" i="55"/>
  <c r="BA53" i="55" s="1"/>
  <c r="AZ21" i="55"/>
  <c r="BA21" i="55" s="1"/>
  <c r="AZ52" i="55"/>
  <c r="BA52" i="55" s="1"/>
  <c r="AZ51" i="55"/>
  <c r="BA51" i="55" s="1"/>
  <c r="AZ47" i="55"/>
  <c r="BA47" i="55" s="1"/>
  <c r="AZ43" i="55"/>
  <c r="BA43" i="55" s="1"/>
  <c r="AZ39" i="55"/>
  <c r="BA39" i="55" s="1"/>
  <c r="AZ35" i="55"/>
  <c r="BA35" i="55" s="1"/>
  <c r="AZ31" i="55"/>
  <c r="BA31" i="55" s="1"/>
  <c r="AZ27" i="55"/>
  <c r="BA27" i="55" s="1"/>
  <c r="AZ23" i="55"/>
  <c r="BA23" i="55" s="1"/>
  <c r="AZ19" i="55"/>
  <c r="BA19" i="55" s="1"/>
  <c r="AZ15" i="55"/>
  <c r="BA15" i="55" s="1"/>
  <c r="AZ11" i="55"/>
  <c r="BA11" i="55" s="1"/>
  <c r="AZ7" i="55"/>
  <c r="BA7" i="55" s="1"/>
  <c r="AZ54" i="55"/>
  <c r="BA54" i="55" s="1"/>
  <c r="AZ46" i="55"/>
  <c r="BA46" i="55" s="1"/>
  <c r="AZ38" i="55"/>
  <c r="BA38" i="55" s="1"/>
  <c r="AZ34" i="55"/>
  <c r="BA34" i="55" s="1"/>
  <c r="AZ26" i="55"/>
  <c r="BA26" i="55" s="1"/>
  <c r="AZ18" i="55"/>
  <c r="BA18" i="55" s="1"/>
  <c r="AZ10" i="55"/>
  <c r="BA10" i="55" s="1"/>
  <c r="AZ50" i="55"/>
  <c r="BA50" i="55" s="1"/>
  <c r="AZ45" i="55"/>
  <c r="BA45" i="55" s="1"/>
  <c r="AZ37" i="55"/>
  <c r="BA37" i="55" s="1"/>
  <c r="AZ29" i="55"/>
  <c r="BA29" i="55" s="1"/>
  <c r="AZ13" i="55"/>
  <c r="BA13" i="55" s="1"/>
  <c r="AZ42" i="55"/>
  <c r="BA42" i="55" s="1"/>
  <c r="AZ30" i="55"/>
  <c r="BA30" i="55" s="1"/>
  <c r="AZ22" i="55"/>
  <c r="BA22" i="55" s="1"/>
  <c r="AZ14" i="55"/>
  <c r="BA14" i="55" s="1"/>
  <c r="AZ49" i="55"/>
  <c r="BA49" i="55" s="1"/>
  <c r="AZ41" i="55"/>
  <c r="BA41" i="55" s="1"/>
  <c r="AZ33" i="55"/>
  <c r="BA33" i="55" s="1"/>
  <c r="AZ25" i="55"/>
  <c r="BA25" i="55" s="1"/>
  <c r="AZ17" i="55"/>
  <c r="BA17" i="55" s="1"/>
  <c r="AZ9" i="55"/>
  <c r="BA9" i="55" s="1"/>
  <c r="AZ48" i="55"/>
  <c r="BA48" i="55" s="1"/>
  <c r="AZ44" i="55"/>
  <c r="BA44" i="55" s="1"/>
  <c r="AZ40" i="55"/>
  <c r="BA40" i="55" s="1"/>
  <c r="AZ36" i="55"/>
  <c r="BA36" i="55" s="1"/>
  <c r="AZ32" i="55"/>
  <c r="BA32" i="55" s="1"/>
  <c r="AZ28" i="55"/>
  <c r="BA28" i="55" s="1"/>
  <c r="AZ24" i="55"/>
  <c r="BA24" i="55" s="1"/>
  <c r="AZ20" i="55"/>
  <c r="BA20" i="55" s="1"/>
  <c r="AZ16" i="55"/>
  <c r="BA16" i="55" s="1"/>
  <c r="AZ12" i="55"/>
  <c r="BA12" i="55" s="1"/>
  <c r="AZ8" i="55"/>
  <c r="BA8" i="55" s="1"/>
  <c r="AR55" i="55"/>
  <c r="AI55" i="55"/>
  <c r="T11" i="55"/>
  <c r="Q55" i="55"/>
  <c r="G51" i="55"/>
  <c r="H51" i="55" s="1"/>
  <c r="G32" i="55"/>
  <c r="H32" i="55" s="1"/>
  <c r="G36" i="55"/>
  <c r="H36" i="55" s="1"/>
  <c r="G19" i="55"/>
  <c r="H19" i="55" s="1"/>
  <c r="G40" i="55"/>
  <c r="H40" i="55" s="1"/>
  <c r="G43" i="55"/>
  <c r="H43" i="55" s="1"/>
  <c r="G45" i="55"/>
  <c r="H45" i="55" s="1"/>
  <c r="G49" i="55"/>
  <c r="H49" i="55" s="1"/>
  <c r="G15" i="55"/>
  <c r="H15" i="55" s="1"/>
  <c r="G54" i="55"/>
  <c r="H54" i="55" s="1"/>
  <c r="G23" i="55"/>
  <c r="H23" i="55" s="1"/>
  <c r="G12" i="55"/>
  <c r="H12" i="55" s="1"/>
  <c r="G17" i="55"/>
  <c r="H17" i="55" s="1"/>
  <c r="G35" i="55"/>
  <c r="H35" i="55" s="1"/>
  <c r="G22" i="55"/>
  <c r="H22" i="55" s="1"/>
  <c r="G20" i="55"/>
  <c r="H20" i="55" s="1"/>
  <c r="G21" i="55"/>
  <c r="H21" i="55" s="1"/>
  <c r="G34" i="55"/>
  <c r="H34" i="55" s="1"/>
  <c r="G33" i="55"/>
  <c r="H33" i="55" s="1"/>
  <c r="G11" i="55"/>
  <c r="H11" i="55" s="1"/>
  <c r="G38" i="55"/>
  <c r="H38" i="55" s="1"/>
  <c r="G37" i="55"/>
  <c r="H37" i="55" s="1"/>
  <c r="G42" i="55"/>
  <c r="H42" i="55" s="1"/>
  <c r="G41" i="55"/>
  <c r="H41" i="55" s="1"/>
  <c r="G46" i="55"/>
  <c r="H46" i="55" s="1"/>
  <c r="G44" i="55"/>
  <c r="H44" i="55" s="1"/>
  <c r="H7" i="55"/>
  <c r="G50" i="55"/>
  <c r="H50" i="55" s="1"/>
  <c r="G48" i="55"/>
  <c r="H48" i="55" s="1"/>
  <c r="G53" i="55"/>
  <c r="H53" i="55" s="1"/>
  <c r="G8" i="55"/>
  <c r="H8" i="55" s="1"/>
  <c r="G27" i="55"/>
  <c r="H27" i="55" s="1"/>
  <c r="G13" i="55"/>
  <c r="H13" i="55" s="1"/>
  <c r="G31" i="55"/>
  <c r="H31" i="55" s="1"/>
  <c r="G16" i="55"/>
  <c r="H16" i="55" s="1"/>
  <c r="G39" i="55"/>
  <c r="H39" i="55" s="1"/>
  <c r="G26" i="55"/>
  <c r="H26" i="55" s="1"/>
  <c r="G24" i="55"/>
  <c r="H24" i="55" s="1"/>
  <c r="G25" i="55"/>
  <c r="H25" i="55" s="1"/>
  <c r="G52" i="55"/>
  <c r="H52" i="55" s="1"/>
  <c r="G10" i="55"/>
  <c r="H10" i="55" s="1"/>
  <c r="G9" i="55"/>
  <c r="H9" i="55" s="1"/>
  <c r="G14" i="55"/>
  <c r="H14" i="55" s="1"/>
  <c r="G18" i="55"/>
  <c r="H18" i="55" s="1"/>
  <c r="G47" i="55"/>
  <c r="H47" i="55" s="1"/>
  <c r="G30" i="55"/>
  <c r="H30" i="55" s="1"/>
  <c r="G28" i="55"/>
  <c r="H28" i="55" s="1"/>
  <c r="G29" i="55"/>
  <c r="H29" i="55" s="1"/>
  <c r="BA55" i="55" l="1"/>
  <c r="T12" i="55"/>
  <c r="H55" i="55"/>
  <c r="T13" i="55" l="1"/>
  <c r="T14" i="55" l="1"/>
  <c r="T15" i="55" l="1"/>
  <c r="T16" i="55" s="1"/>
  <c r="T17" i="55" s="1"/>
  <c r="T18" i="55" s="1"/>
  <c r="T19" i="55" s="1"/>
  <c r="T20" i="55" s="1"/>
  <c r="T21" i="55" s="1"/>
  <c r="T22" i="55" s="1"/>
  <c r="T23" i="55" s="1"/>
  <c r="T24" i="55" s="1"/>
  <c r="T25" i="55" s="1"/>
  <c r="T26" i="55" s="1"/>
  <c r="T27" i="55" s="1"/>
  <c r="T28" i="55" s="1"/>
  <c r="T29" i="55" s="1"/>
  <c r="T30" i="55" s="1"/>
  <c r="T31" i="55" s="1"/>
  <c r="T32" i="55" s="1"/>
  <c r="T33" i="55" s="1"/>
  <c r="T34" i="55" s="1"/>
  <c r="T35" i="55" s="1"/>
  <c r="T36" i="55" s="1"/>
  <c r="T37" i="55" s="1"/>
  <c r="T38" i="55" s="1"/>
  <c r="T39" i="55" s="1"/>
  <c r="T40" i="55" s="1"/>
  <c r="T41" i="55" s="1"/>
  <c r="T42" i="55" s="1"/>
  <c r="T43" i="55" s="1"/>
  <c r="T44" i="55" s="1"/>
  <c r="T45" i="55" s="1"/>
  <c r="T46" i="55" s="1"/>
  <c r="T47" i="55" s="1"/>
  <c r="T48" i="55" s="1"/>
  <c r="T49" i="55" s="1"/>
  <c r="T50" i="55" s="1"/>
  <c r="T51" i="55" s="1"/>
  <c r="T52" i="55" s="1"/>
  <c r="T53" i="55" s="1"/>
  <c r="T54" i="55" s="1"/>
  <c r="X5" i="55" l="1" a="1"/>
  <c r="X5" i="55" s="1"/>
  <c r="W5" i="55" a="1"/>
  <c r="W5" i="55" s="1"/>
  <c r="Y52" i="55" l="1"/>
  <c r="Z52" i="55" s="1"/>
  <c r="Y24" i="55"/>
  <c r="Z24" i="55" s="1"/>
  <c r="Y53" i="55"/>
  <c r="Z53" i="55" s="1"/>
  <c r="Y49" i="55"/>
  <c r="Z49" i="55" s="1"/>
  <c r="Y45" i="55"/>
  <c r="Z45" i="55" s="1"/>
  <c r="Y41" i="55"/>
  <c r="Z41" i="55" s="1"/>
  <c r="Y37" i="55"/>
  <c r="Z37" i="55" s="1"/>
  <c r="Y33" i="55"/>
  <c r="Z33" i="55" s="1"/>
  <c r="Y29" i="55"/>
  <c r="Z29" i="55" s="1"/>
  <c r="Y25" i="55"/>
  <c r="Z25" i="55" s="1"/>
  <c r="Y21" i="55"/>
  <c r="Z21" i="55" s="1"/>
  <c r="Y17" i="55"/>
  <c r="Z17" i="55" s="1"/>
  <c r="Y13" i="55"/>
  <c r="Z13" i="55" s="1"/>
  <c r="Y9" i="55"/>
  <c r="Z9" i="55" s="1"/>
  <c r="Y40" i="55"/>
  <c r="Z40" i="55" s="1"/>
  <c r="Y28" i="55"/>
  <c r="Z28" i="55" s="1"/>
  <c r="Y12" i="55"/>
  <c r="Z12" i="55" s="1"/>
  <c r="Y51" i="55"/>
  <c r="Z51" i="55" s="1"/>
  <c r="Y47" i="55"/>
  <c r="Z47" i="55" s="1"/>
  <c r="Y43" i="55"/>
  <c r="Z43" i="55" s="1"/>
  <c r="Y39" i="55"/>
  <c r="Z39" i="55" s="1"/>
  <c r="Y35" i="55"/>
  <c r="Z35" i="55" s="1"/>
  <c r="Y31" i="55"/>
  <c r="Z31" i="55" s="1"/>
  <c r="Y27" i="55"/>
  <c r="Z27" i="55" s="1"/>
  <c r="Y23" i="55"/>
  <c r="Z23" i="55" s="1"/>
  <c r="Y19" i="55"/>
  <c r="Z19" i="55" s="1"/>
  <c r="Y15" i="55"/>
  <c r="Z15" i="55" s="1"/>
  <c r="Y11" i="55"/>
  <c r="Z11" i="55" s="1"/>
  <c r="Y7" i="55"/>
  <c r="Z7" i="55" s="1"/>
  <c r="Y48" i="55"/>
  <c r="Z48" i="55" s="1"/>
  <c r="Y44" i="55"/>
  <c r="Z44" i="55" s="1"/>
  <c r="Y36" i="55"/>
  <c r="Z36" i="55" s="1"/>
  <c r="Y20" i="55"/>
  <c r="Z20" i="55" s="1"/>
  <c r="Y16" i="55"/>
  <c r="Z16" i="55" s="1"/>
  <c r="Y8" i="55"/>
  <c r="Z8" i="55" s="1"/>
  <c r="Y54" i="55"/>
  <c r="Z54" i="55" s="1"/>
  <c r="Y50" i="55"/>
  <c r="Z50" i="55" s="1"/>
  <c r="Y46" i="55"/>
  <c r="Z46" i="55" s="1"/>
  <c r="Y42" i="55"/>
  <c r="Z42" i="55" s="1"/>
  <c r="Y38" i="55"/>
  <c r="Z38" i="55" s="1"/>
  <c r="Y34" i="55"/>
  <c r="Z34" i="55" s="1"/>
  <c r="Y30" i="55"/>
  <c r="Z30" i="55" s="1"/>
  <c r="Y26" i="55"/>
  <c r="Z26" i="55" s="1"/>
  <c r="Y22" i="55"/>
  <c r="Z22" i="55" s="1"/>
  <c r="Y18" i="55"/>
  <c r="Z18" i="55" s="1"/>
  <c r="Y14" i="55"/>
  <c r="Z14" i="55" s="1"/>
  <c r="Y10" i="55"/>
  <c r="Z10" i="55" s="1"/>
  <c r="Y32" i="55"/>
  <c r="Z32" i="55" s="1"/>
  <c r="Z55" i="55" l="1"/>
  <c r="BT61" i="51" l="1"/>
  <c r="BU61" i="51" s="1"/>
  <c r="BT60" i="51"/>
  <c r="BS61" i="51"/>
  <c r="BS62" i="51"/>
  <c r="BS63" i="51"/>
  <c r="BS60" i="51"/>
  <c r="BQ61" i="51"/>
  <c r="BQ62" i="51"/>
  <c r="BQ63" i="51"/>
  <c r="BD60" i="51"/>
  <c r="BQ60" i="51"/>
  <c r="BP63" i="51"/>
  <c r="BO63" i="51"/>
  <c r="BO62" i="51"/>
  <c r="BO61" i="51"/>
  <c r="BO60" i="51"/>
  <c r="BT63" i="51"/>
  <c r="BU63" i="51" s="1"/>
  <c r="BT62" i="51"/>
  <c r="BU62" i="51" s="1"/>
  <c r="BU60" i="51"/>
  <c r="BC63" i="51"/>
  <c r="BG63" i="51" s="1"/>
  <c r="BH63" i="51" s="1"/>
  <c r="AD63" i="51"/>
  <c r="AH63" i="51" s="1"/>
  <c r="AI63" i="51" s="1"/>
  <c r="R63" i="51"/>
  <c r="V63" i="51" s="1"/>
  <c r="W63" i="51" s="1"/>
  <c r="W64" i="51" s="1"/>
  <c r="BG62" i="51"/>
  <c r="BH62" i="51" s="1"/>
  <c r="BG61" i="51"/>
  <c r="BH61" i="51" s="1"/>
  <c r="BG60" i="51"/>
  <c r="BH60" i="51" s="1"/>
  <c r="AT63" i="51"/>
  <c r="AU63" i="51" s="1"/>
  <c r="AU64" i="51" s="1"/>
  <c r="AT62" i="51"/>
  <c r="AU62" i="51" s="1"/>
  <c r="AT61" i="51"/>
  <c r="AU61" i="51" s="1"/>
  <c r="AT60" i="51"/>
  <c r="AU60" i="51" s="1"/>
  <c r="AH62" i="51"/>
  <c r="AI62" i="51" s="1"/>
  <c r="AH61" i="51"/>
  <c r="AI61" i="51" s="1"/>
  <c r="AH60" i="51"/>
  <c r="AI60" i="51" s="1"/>
  <c r="S60" i="51"/>
  <c r="W62" i="51"/>
  <c r="W61" i="51"/>
  <c r="W60" i="51"/>
  <c r="V62" i="51"/>
  <c r="V61" i="51"/>
  <c r="V60" i="51"/>
  <c r="J64" i="51"/>
  <c r="J63" i="51"/>
  <c r="J62" i="51"/>
  <c r="J61" i="51"/>
  <c r="J60" i="51"/>
  <c r="I63" i="51"/>
  <c r="I62" i="51"/>
  <c r="I61" i="51"/>
  <c r="I60" i="51"/>
  <c r="BT5" i="51" a="1"/>
  <c r="BT5" i="51" s="1"/>
  <c r="BS5" i="51" a="1"/>
  <c r="BS5" i="51" s="1"/>
  <c r="BR5" i="51" a="1"/>
  <c r="BR5" i="51" s="1"/>
  <c r="BQ5" i="51" a="1"/>
  <c r="BQ5" i="51" s="1"/>
  <c r="BP5" i="51" a="1"/>
  <c r="BP5" i="51" s="1"/>
  <c r="BO5" i="51" a="1"/>
  <c r="BO5" i="51" s="1"/>
  <c r="BN5" i="51" a="1"/>
  <c r="BN5" i="51" s="1"/>
  <c r="BG5" i="51" a="1"/>
  <c r="BG5" i="51" s="1"/>
  <c r="BF5" i="51" a="1"/>
  <c r="BF5" i="51" s="1"/>
  <c r="BE5" i="51" a="1"/>
  <c r="BE5" i="51" s="1"/>
  <c r="BD5" i="51" a="1"/>
  <c r="BD5" i="51" s="1"/>
  <c r="BC5" i="51" a="1"/>
  <c r="BC5" i="51" s="1"/>
  <c r="BB5" i="51" a="1"/>
  <c r="BB5" i="51" s="1"/>
  <c r="BA5" i="51" a="1"/>
  <c r="BA5" i="51" s="1"/>
  <c r="AT5" i="51" a="1"/>
  <c r="AT5" i="51" s="1"/>
  <c r="AQ5" i="51" a="1"/>
  <c r="AQ5" i="51" s="1"/>
  <c r="AP5" i="51" a="1"/>
  <c r="AP5" i="51" s="1"/>
  <c r="AO5" i="51" a="1"/>
  <c r="AO5" i="51" s="1"/>
  <c r="AH5" i="51" a="1"/>
  <c r="AH5" i="51" s="1"/>
  <c r="AE5" i="51" a="1"/>
  <c r="AE5" i="51" s="1"/>
  <c r="AD5" i="51" a="1"/>
  <c r="AD5" i="51" s="1"/>
  <c r="AC5" i="51" a="1"/>
  <c r="AC5" i="51" s="1"/>
  <c r="V5" i="51" a="1"/>
  <c r="V5" i="51" s="1"/>
  <c r="S5" i="51" a="1"/>
  <c r="S5" i="51" s="1"/>
  <c r="Q5" i="51" a="1"/>
  <c r="Q5" i="51" s="1"/>
  <c r="I5" i="51" a="1"/>
  <c r="I5" i="51" s="1"/>
  <c r="F5" i="51" a="1"/>
  <c r="F5" i="51" s="1"/>
  <c r="D5" i="51" a="1"/>
  <c r="D5" i="51" s="1"/>
  <c r="M4" i="40"/>
  <c r="M5" i="40" s="1"/>
  <c r="M6" i="40" s="1"/>
  <c r="M7" i="40" s="1"/>
  <c r="M8" i="40" s="1"/>
  <c r="M9" i="40" s="1"/>
  <c r="M10" i="40" s="1"/>
  <c r="M11" i="40" s="1"/>
  <c r="M12" i="40" s="1"/>
  <c r="M13" i="40" s="1"/>
  <c r="M14" i="40" s="1"/>
  <c r="M15" i="40" s="1"/>
  <c r="M16" i="40" s="1"/>
  <c r="M17" i="40" s="1"/>
  <c r="M18" i="40" s="1"/>
  <c r="M19" i="40" s="1"/>
  <c r="M20" i="40" s="1"/>
  <c r="M21" i="40" s="1"/>
  <c r="M22" i="40" s="1"/>
  <c r="M23" i="40" s="1"/>
  <c r="M24" i="40" s="1"/>
  <c r="M25" i="40" s="1"/>
  <c r="M26" i="40" s="1"/>
  <c r="M27" i="40" s="1"/>
  <c r="M28" i="40" s="1"/>
  <c r="M29" i="40" s="1"/>
  <c r="M30" i="40" s="1"/>
  <c r="M31" i="40" s="1"/>
  <c r="M32" i="40" s="1"/>
  <c r="M33" i="40" s="1"/>
  <c r="M34" i="40" s="1"/>
  <c r="M35" i="40" s="1"/>
  <c r="M36" i="40" s="1"/>
  <c r="M37" i="40" s="1"/>
  <c r="M38" i="40" s="1"/>
  <c r="M39" i="40" s="1"/>
  <c r="M40" i="40" s="1"/>
  <c r="M41" i="40" s="1"/>
  <c r="M42" i="40" s="1"/>
  <c r="M43" i="40" s="1"/>
  <c r="M44" i="40" s="1"/>
  <c r="M45" i="40" s="1"/>
  <c r="M46" i="40" s="1"/>
  <c r="M47" i="40" s="1"/>
  <c r="M48" i="40" s="1"/>
  <c r="M49" i="40" s="1"/>
  <c r="M50" i="40" s="1"/>
  <c r="M51" i="40" s="1"/>
  <c r="M52" i="40" s="1"/>
  <c r="M53" i="40" s="1"/>
  <c r="L4" i="40"/>
  <c r="L5" i="40" s="1"/>
  <c r="L6" i="40" s="1"/>
  <c r="L7" i="40" s="1"/>
  <c r="L8" i="40" s="1"/>
  <c r="L9" i="40" s="1"/>
  <c r="L10" i="40" s="1"/>
  <c r="L11" i="40" s="1"/>
  <c r="L12" i="40" s="1"/>
  <c r="L13" i="40" s="1"/>
  <c r="L14" i="40" s="1"/>
  <c r="L15" i="40" s="1"/>
  <c r="L16" i="40" s="1"/>
  <c r="L17" i="40" s="1"/>
  <c r="L18" i="40" s="1"/>
  <c r="L19" i="40" s="1"/>
  <c r="L20" i="40" s="1"/>
  <c r="L21" i="40" s="1"/>
  <c r="L22" i="40" s="1"/>
  <c r="L23" i="40" s="1"/>
  <c r="L24" i="40" s="1"/>
  <c r="L25" i="40" s="1"/>
  <c r="L26" i="40" s="1"/>
  <c r="L27" i="40" s="1"/>
  <c r="L28" i="40" s="1"/>
  <c r="L29" i="40" s="1"/>
  <c r="L30" i="40" s="1"/>
  <c r="L31" i="40" s="1"/>
  <c r="L32" i="40" s="1"/>
  <c r="L33" i="40" s="1"/>
  <c r="L34" i="40" s="1"/>
  <c r="L35" i="40" s="1"/>
  <c r="L36" i="40" s="1"/>
  <c r="L37" i="40" s="1"/>
  <c r="L38" i="40" s="1"/>
  <c r="L39" i="40" s="1"/>
  <c r="L40" i="40" s="1"/>
  <c r="L41" i="40" s="1"/>
  <c r="L42" i="40" s="1"/>
  <c r="L43" i="40" s="1"/>
  <c r="L44" i="40" s="1"/>
  <c r="L45" i="40" s="1"/>
  <c r="L46" i="40" s="1"/>
  <c r="L47" i="40" s="1"/>
  <c r="L48" i="40" s="1"/>
  <c r="L49" i="40" s="1"/>
  <c r="L50" i="40" s="1"/>
  <c r="L51" i="40" s="1"/>
  <c r="L52" i="40" s="1"/>
  <c r="L53" i="40" s="1"/>
  <c r="K4" i="40"/>
  <c r="K5" i="40" s="1"/>
  <c r="K6" i="40" s="1"/>
  <c r="K7" i="40" s="1"/>
  <c r="K8" i="40" s="1"/>
  <c r="K9" i="40" s="1"/>
  <c r="K10" i="40" s="1"/>
  <c r="K11" i="40" s="1"/>
  <c r="K12" i="40" s="1"/>
  <c r="K13" i="40" s="1"/>
  <c r="K14" i="40" s="1"/>
  <c r="K15" i="40" s="1"/>
  <c r="K16" i="40" s="1"/>
  <c r="K17" i="40" s="1"/>
  <c r="K18" i="40" s="1"/>
  <c r="K19" i="40" s="1"/>
  <c r="K20" i="40" s="1"/>
  <c r="K21" i="40" s="1"/>
  <c r="K22" i="40" s="1"/>
  <c r="K23" i="40" s="1"/>
  <c r="K24" i="40" s="1"/>
  <c r="K25" i="40" s="1"/>
  <c r="K26" i="40" s="1"/>
  <c r="K27" i="40" s="1"/>
  <c r="K28" i="40" s="1"/>
  <c r="K29" i="40" s="1"/>
  <c r="K30" i="40" s="1"/>
  <c r="K31" i="40" s="1"/>
  <c r="K32" i="40" s="1"/>
  <c r="K33" i="40" s="1"/>
  <c r="K34" i="40" s="1"/>
  <c r="K35" i="40" s="1"/>
  <c r="K36" i="40" s="1"/>
  <c r="K37" i="40" s="1"/>
  <c r="K38" i="40" s="1"/>
  <c r="K39" i="40" s="1"/>
  <c r="K40" i="40" s="1"/>
  <c r="K41" i="40" s="1"/>
  <c r="K42" i="40" s="1"/>
  <c r="K43" i="40" s="1"/>
  <c r="K44" i="40" s="1"/>
  <c r="K45" i="40" s="1"/>
  <c r="K46" i="40" s="1"/>
  <c r="K47" i="40" s="1"/>
  <c r="K48" i="40" s="1"/>
  <c r="K49" i="40" s="1"/>
  <c r="K50" i="40" s="1"/>
  <c r="K51" i="40" s="1"/>
  <c r="K52" i="40" s="1"/>
  <c r="K53" i="40" s="1"/>
  <c r="J4" i="40"/>
  <c r="J5" i="40" s="1"/>
  <c r="J6" i="40" s="1"/>
  <c r="J7" i="40" s="1"/>
  <c r="J8" i="40" s="1"/>
  <c r="J9" i="40" s="1"/>
  <c r="J10" i="40" s="1"/>
  <c r="J11" i="40" s="1"/>
  <c r="J12" i="40" s="1"/>
  <c r="J13" i="40" s="1"/>
  <c r="J14" i="40" s="1"/>
  <c r="J15" i="40" s="1"/>
  <c r="J16" i="40" s="1"/>
  <c r="J17" i="40" s="1"/>
  <c r="J18" i="40" s="1"/>
  <c r="J19" i="40" s="1"/>
  <c r="J20" i="40" s="1"/>
  <c r="J21" i="40" s="1"/>
  <c r="J22" i="40" s="1"/>
  <c r="J23" i="40" s="1"/>
  <c r="J24" i="40" s="1"/>
  <c r="J25" i="40" s="1"/>
  <c r="J26" i="40" s="1"/>
  <c r="J27" i="40" s="1"/>
  <c r="J28" i="40" s="1"/>
  <c r="J29" i="40" s="1"/>
  <c r="J30" i="40" s="1"/>
  <c r="J31" i="40" s="1"/>
  <c r="J32" i="40" s="1"/>
  <c r="J33" i="40" s="1"/>
  <c r="J34" i="40" s="1"/>
  <c r="J35" i="40" s="1"/>
  <c r="J36" i="40" s="1"/>
  <c r="J37" i="40" s="1"/>
  <c r="J38" i="40" s="1"/>
  <c r="J39" i="40" s="1"/>
  <c r="J40" i="40" s="1"/>
  <c r="J41" i="40" s="1"/>
  <c r="J42" i="40" s="1"/>
  <c r="J43" i="40" s="1"/>
  <c r="J44" i="40" s="1"/>
  <c r="J45" i="40" s="1"/>
  <c r="J46" i="40" s="1"/>
  <c r="J47" i="40" s="1"/>
  <c r="J48" i="40" s="1"/>
  <c r="J49" i="40" s="1"/>
  <c r="J50" i="40" s="1"/>
  <c r="J51" i="40" s="1"/>
  <c r="J52" i="40" s="1"/>
  <c r="J53" i="40" s="1"/>
  <c r="I4" i="40"/>
  <c r="I5" i="40" s="1"/>
  <c r="I6" i="40" s="1"/>
  <c r="I7" i="40" s="1"/>
  <c r="I8" i="40" s="1"/>
  <c r="I9" i="40" s="1"/>
  <c r="I10" i="40" s="1"/>
  <c r="I11" i="40" s="1"/>
  <c r="I12" i="40" s="1"/>
  <c r="I13" i="40" s="1"/>
  <c r="I14" i="40" s="1"/>
  <c r="I15" i="40" s="1"/>
  <c r="I16" i="40" s="1"/>
  <c r="I17" i="40" s="1"/>
  <c r="I18" i="40" s="1"/>
  <c r="I19" i="40" s="1"/>
  <c r="I20" i="40" s="1"/>
  <c r="I21" i="40" s="1"/>
  <c r="I22" i="40" s="1"/>
  <c r="I23" i="40" s="1"/>
  <c r="I24" i="40" s="1"/>
  <c r="I25" i="40" s="1"/>
  <c r="I26" i="40" s="1"/>
  <c r="I27" i="40" s="1"/>
  <c r="I28" i="40" s="1"/>
  <c r="I29" i="40" s="1"/>
  <c r="I30" i="40" s="1"/>
  <c r="I31" i="40" s="1"/>
  <c r="I32" i="40" s="1"/>
  <c r="I33" i="40" s="1"/>
  <c r="I34" i="40" s="1"/>
  <c r="I35" i="40" s="1"/>
  <c r="I36" i="40" s="1"/>
  <c r="I37" i="40" s="1"/>
  <c r="I38" i="40" s="1"/>
  <c r="I39" i="40" s="1"/>
  <c r="I40" i="40" s="1"/>
  <c r="I41" i="40" s="1"/>
  <c r="I42" i="40" s="1"/>
  <c r="I43" i="40" s="1"/>
  <c r="I44" i="40" s="1"/>
  <c r="I45" i="40" s="1"/>
  <c r="I46" i="40" s="1"/>
  <c r="I47" i="40" s="1"/>
  <c r="I48" i="40" s="1"/>
  <c r="I49" i="40" s="1"/>
  <c r="I50" i="40" s="1"/>
  <c r="I51" i="40" s="1"/>
  <c r="I52" i="40" s="1"/>
  <c r="I53" i="40" s="1"/>
  <c r="H5" i="40"/>
  <c r="H6" i="40" s="1"/>
  <c r="H7" i="40" s="1"/>
  <c r="H8" i="40" s="1"/>
  <c r="H9" i="40" s="1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H30" i="40" s="1"/>
  <c r="H31" i="40" s="1"/>
  <c r="H32" i="40" s="1"/>
  <c r="H33" i="40" s="1"/>
  <c r="H34" i="40" s="1"/>
  <c r="H35" i="40" s="1"/>
  <c r="H36" i="40" s="1"/>
  <c r="H37" i="40" s="1"/>
  <c r="H38" i="40" s="1"/>
  <c r="H39" i="40" s="1"/>
  <c r="H40" i="40" s="1"/>
  <c r="H41" i="40" s="1"/>
  <c r="H42" i="40" s="1"/>
  <c r="H43" i="40" s="1"/>
  <c r="H44" i="40" s="1"/>
  <c r="H45" i="40" s="1"/>
  <c r="H46" i="40" s="1"/>
  <c r="H47" i="40" s="1"/>
  <c r="H48" i="40" s="1"/>
  <c r="H49" i="40" s="1"/>
  <c r="H50" i="40" s="1"/>
  <c r="H51" i="40" s="1"/>
  <c r="H52" i="40" s="1"/>
  <c r="H53" i="40" s="1"/>
  <c r="H4" i="40"/>
  <c r="G5" i="40"/>
  <c r="G6" i="40" s="1"/>
  <c r="G7" i="40" s="1"/>
  <c r="G8" i="40" s="1"/>
  <c r="G9" i="40" s="1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G35" i="40" s="1"/>
  <c r="G36" i="40" s="1"/>
  <c r="G37" i="40" s="1"/>
  <c r="G38" i="40" s="1"/>
  <c r="G39" i="40" s="1"/>
  <c r="G40" i="40" s="1"/>
  <c r="G41" i="40" s="1"/>
  <c r="G42" i="40" s="1"/>
  <c r="G43" i="40" s="1"/>
  <c r="G44" i="40" s="1"/>
  <c r="G45" i="40" s="1"/>
  <c r="G46" i="40" s="1"/>
  <c r="G47" i="40" s="1"/>
  <c r="G48" i="40" s="1"/>
  <c r="G49" i="40" s="1"/>
  <c r="G50" i="40" s="1"/>
  <c r="G51" i="40" s="1"/>
  <c r="G52" i="40" s="1"/>
  <c r="G53" i="40" s="1"/>
  <c r="G4" i="40"/>
  <c r="M6" i="41"/>
  <c r="M7" i="41"/>
  <c r="M8" i="41"/>
  <c r="M9" i="41"/>
  <c r="M10" i="41"/>
  <c r="M11" i="41"/>
  <c r="M12" i="41"/>
  <c r="M13" i="41"/>
  <c r="M14" i="41"/>
  <c r="M15" i="41"/>
  <c r="M16" i="41"/>
  <c r="M17" i="4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M42" i="41" s="1"/>
  <c r="M43" i="41" s="1"/>
  <c r="M44" i="41" s="1"/>
  <c r="M45" i="41" s="1"/>
  <c r="M46" i="41" s="1"/>
  <c r="M47" i="41" s="1"/>
  <c r="M48" i="41" s="1"/>
  <c r="M49" i="41" s="1"/>
  <c r="M50" i="41" s="1"/>
  <c r="M51" i="41" s="1"/>
  <c r="M52" i="41" s="1"/>
  <c r="M53" i="41" s="1"/>
  <c r="M5" i="41"/>
  <c r="M4" i="41"/>
  <c r="L6" i="41"/>
  <c r="L7" i="41"/>
  <c r="L8" i="41"/>
  <c r="L9" i="41"/>
  <c r="L10" i="41"/>
  <c r="L11" i="41"/>
  <c r="L12" i="41"/>
  <c r="L13" i="41"/>
  <c r="L14" i="41" s="1"/>
  <c r="L15" i="41" s="1"/>
  <c r="L16" i="41" s="1"/>
  <c r="L17" i="41" s="1"/>
  <c r="L18" i="41" s="1"/>
  <c r="L19" i="41" s="1"/>
  <c r="L20" i="41" s="1"/>
  <c r="L21" i="41" s="1"/>
  <c r="L22" i="41" s="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L38" i="41" s="1"/>
  <c r="L39" i="41" s="1"/>
  <c r="L40" i="41" s="1"/>
  <c r="L41" i="41" s="1"/>
  <c r="L42" i="41" s="1"/>
  <c r="L43" i="41" s="1"/>
  <c r="L44" i="41" s="1"/>
  <c r="L45" i="41" s="1"/>
  <c r="L46" i="41" s="1"/>
  <c r="L47" i="41" s="1"/>
  <c r="L48" i="41" s="1"/>
  <c r="L49" i="41" s="1"/>
  <c r="L50" i="41" s="1"/>
  <c r="L51" i="41" s="1"/>
  <c r="L52" i="41" s="1"/>
  <c r="L53" i="41" s="1"/>
  <c r="L5" i="41"/>
  <c r="L4" i="41"/>
  <c r="K6" i="41"/>
  <c r="K7" i="41"/>
  <c r="K8" i="41"/>
  <c r="K9" i="41"/>
  <c r="K10" i="41"/>
  <c r="K11" i="41"/>
  <c r="K12" i="41"/>
  <c r="K13" i="41" s="1"/>
  <c r="K14" i="41" s="1"/>
  <c r="K15" i="41" s="1"/>
  <c r="K16" i="41" s="1"/>
  <c r="K17" i="41" s="1"/>
  <c r="K18" i="41" s="1"/>
  <c r="K19" i="41" s="1"/>
  <c r="K20" i="41" s="1"/>
  <c r="K21" i="41" s="1"/>
  <c r="K22" i="41" s="1"/>
  <c r="K23" i="41" s="1"/>
  <c r="K24" i="41" s="1"/>
  <c r="K25" i="41" s="1"/>
  <c r="K26" i="41" s="1"/>
  <c r="K27" i="41" s="1"/>
  <c r="K28" i="41" s="1"/>
  <c r="K29" i="41" s="1"/>
  <c r="K30" i="41" s="1"/>
  <c r="K31" i="41" s="1"/>
  <c r="K32" i="41" s="1"/>
  <c r="K33" i="41" s="1"/>
  <c r="K34" i="41" s="1"/>
  <c r="K35" i="41" s="1"/>
  <c r="K36" i="41" s="1"/>
  <c r="K37" i="41" s="1"/>
  <c r="K38" i="41" s="1"/>
  <c r="K39" i="41" s="1"/>
  <c r="K40" i="41" s="1"/>
  <c r="K41" i="41" s="1"/>
  <c r="K42" i="41" s="1"/>
  <c r="K43" i="41" s="1"/>
  <c r="K44" i="41" s="1"/>
  <c r="K45" i="41" s="1"/>
  <c r="K46" i="41" s="1"/>
  <c r="K47" i="41" s="1"/>
  <c r="K48" i="41" s="1"/>
  <c r="K49" i="41" s="1"/>
  <c r="K50" i="41" s="1"/>
  <c r="K51" i="41" s="1"/>
  <c r="K52" i="41" s="1"/>
  <c r="K53" i="41" s="1"/>
  <c r="K5" i="41"/>
  <c r="K4" i="41"/>
  <c r="J6" i="41"/>
  <c r="J7" i="41" s="1"/>
  <c r="J8" i="41" s="1"/>
  <c r="J9" i="41" s="1"/>
  <c r="J10" i="41" s="1"/>
  <c r="J11" i="41" s="1"/>
  <c r="J12" i="41" s="1"/>
  <c r="J13" i="41" s="1"/>
  <c r="J14" i="41" s="1"/>
  <c r="J15" i="41" s="1"/>
  <c r="J16" i="41" s="1"/>
  <c r="J17" i="41" s="1"/>
  <c r="J18" i="41" s="1"/>
  <c r="J19" i="41" s="1"/>
  <c r="J20" i="41" s="1"/>
  <c r="J21" i="41" s="1"/>
  <c r="J22" i="41" s="1"/>
  <c r="J23" i="41" s="1"/>
  <c r="J24" i="41" s="1"/>
  <c r="J25" i="41" s="1"/>
  <c r="J26" i="41" s="1"/>
  <c r="J27" i="41" s="1"/>
  <c r="J28" i="41" s="1"/>
  <c r="J29" i="41" s="1"/>
  <c r="J30" i="41" s="1"/>
  <c r="J31" i="41" s="1"/>
  <c r="J32" i="41" s="1"/>
  <c r="J33" i="41" s="1"/>
  <c r="J34" i="41" s="1"/>
  <c r="J35" i="41" s="1"/>
  <c r="J36" i="41" s="1"/>
  <c r="J37" i="41" s="1"/>
  <c r="J38" i="41" s="1"/>
  <c r="J39" i="41" s="1"/>
  <c r="J40" i="41" s="1"/>
  <c r="J41" i="41" s="1"/>
  <c r="J42" i="41" s="1"/>
  <c r="J43" i="41" s="1"/>
  <c r="J44" i="41" s="1"/>
  <c r="J45" i="41" s="1"/>
  <c r="J46" i="41" s="1"/>
  <c r="J47" i="41" s="1"/>
  <c r="J48" i="41" s="1"/>
  <c r="J49" i="41" s="1"/>
  <c r="J50" i="41" s="1"/>
  <c r="J51" i="41" s="1"/>
  <c r="J52" i="41" s="1"/>
  <c r="J53" i="41" s="1"/>
  <c r="J5" i="41"/>
  <c r="J4" i="41"/>
  <c r="I6" i="41"/>
  <c r="I7" i="41"/>
  <c r="I8" i="41" s="1"/>
  <c r="I9" i="41" s="1"/>
  <c r="I10" i="41" s="1"/>
  <c r="I11" i="41" s="1"/>
  <c r="I12" i="41" s="1"/>
  <c r="I13" i="41" s="1"/>
  <c r="I14" i="41" s="1"/>
  <c r="I15" i="41" s="1"/>
  <c r="I16" i="41" s="1"/>
  <c r="I17" i="41" s="1"/>
  <c r="I18" i="41" s="1"/>
  <c r="I19" i="41" s="1"/>
  <c r="I20" i="41" s="1"/>
  <c r="I21" i="41" s="1"/>
  <c r="I22" i="41" s="1"/>
  <c r="I23" i="41" s="1"/>
  <c r="I24" i="41" s="1"/>
  <c r="I25" i="41" s="1"/>
  <c r="I26" i="41" s="1"/>
  <c r="I27" i="41" s="1"/>
  <c r="I28" i="41" s="1"/>
  <c r="I29" i="41" s="1"/>
  <c r="I30" i="41" s="1"/>
  <c r="I31" i="41" s="1"/>
  <c r="I32" i="41" s="1"/>
  <c r="I33" i="41" s="1"/>
  <c r="I34" i="41" s="1"/>
  <c r="I35" i="41" s="1"/>
  <c r="I36" i="41" s="1"/>
  <c r="I37" i="41" s="1"/>
  <c r="I38" i="41" s="1"/>
  <c r="I39" i="41" s="1"/>
  <c r="I40" i="41" s="1"/>
  <c r="I41" i="41" s="1"/>
  <c r="I42" i="41" s="1"/>
  <c r="I43" i="41" s="1"/>
  <c r="I44" i="41" s="1"/>
  <c r="I45" i="41" s="1"/>
  <c r="I46" i="41" s="1"/>
  <c r="I47" i="41" s="1"/>
  <c r="I48" i="41" s="1"/>
  <c r="I49" i="41" s="1"/>
  <c r="I50" i="41" s="1"/>
  <c r="I51" i="41" s="1"/>
  <c r="I52" i="41" s="1"/>
  <c r="I53" i="41" s="1"/>
  <c r="I5" i="41"/>
  <c r="I4" i="41"/>
  <c r="H6" i="41"/>
  <c r="H7" i="4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0" i="41" s="1"/>
  <c r="H31" i="41" s="1"/>
  <c r="H32" i="41" s="1"/>
  <c r="H33" i="41" s="1"/>
  <c r="H34" i="41" s="1"/>
  <c r="H35" i="41" s="1"/>
  <c r="H36" i="41" s="1"/>
  <c r="H37" i="41" s="1"/>
  <c r="H38" i="41" s="1"/>
  <c r="H39" i="41" s="1"/>
  <c r="H40" i="41" s="1"/>
  <c r="H41" i="41" s="1"/>
  <c r="H42" i="41" s="1"/>
  <c r="H43" i="41" s="1"/>
  <c r="H44" i="41" s="1"/>
  <c r="H45" i="41" s="1"/>
  <c r="H46" i="41" s="1"/>
  <c r="H47" i="41" s="1"/>
  <c r="H48" i="41" s="1"/>
  <c r="H49" i="41" s="1"/>
  <c r="H50" i="41" s="1"/>
  <c r="H51" i="41" s="1"/>
  <c r="H52" i="41" s="1"/>
  <c r="H53" i="41" s="1"/>
  <c r="H5" i="41"/>
  <c r="H4" i="41"/>
  <c r="G6" i="41"/>
  <c r="G7" i="41"/>
  <c r="G8" i="41" s="1"/>
  <c r="G9" i="41" s="1"/>
  <c r="G10" i="41" s="1"/>
  <c r="G11" i="41" s="1"/>
  <c r="G12" i="41" s="1"/>
  <c r="G13" i="41" s="1"/>
  <c r="G14" i="41" s="1"/>
  <c r="G15" i="41" s="1"/>
  <c r="G16" i="41" s="1"/>
  <c r="G17" i="41" s="1"/>
  <c r="G18" i="41" s="1"/>
  <c r="G19" i="41" s="1"/>
  <c r="G20" i="41" s="1"/>
  <c r="G21" i="41" s="1"/>
  <c r="G22" i="41" s="1"/>
  <c r="G23" i="41" s="1"/>
  <c r="G24" i="41" s="1"/>
  <c r="G25" i="41" s="1"/>
  <c r="G26" i="41" s="1"/>
  <c r="G27" i="41" s="1"/>
  <c r="G28" i="41" s="1"/>
  <c r="G29" i="41" s="1"/>
  <c r="G30" i="41" s="1"/>
  <c r="G31" i="41" s="1"/>
  <c r="G32" i="41" s="1"/>
  <c r="G33" i="41" s="1"/>
  <c r="G34" i="41" s="1"/>
  <c r="G35" i="41" s="1"/>
  <c r="G36" i="41" s="1"/>
  <c r="G37" i="41" s="1"/>
  <c r="G38" i="41" s="1"/>
  <c r="G39" i="41" s="1"/>
  <c r="G40" i="41" s="1"/>
  <c r="G41" i="41" s="1"/>
  <c r="G42" i="41" s="1"/>
  <c r="G43" i="41" s="1"/>
  <c r="G44" i="41" s="1"/>
  <c r="G45" i="41" s="1"/>
  <c r="G46" i="41" s="1"/>
  <c r="G47" i="41" s="1"/>
  <c r="G48" i="41" s="1"/>
  <c r="G49" i="41" s="1"/>
  <c r="G50" i="41" s="1"/>
  <c r="G51" i="41" s="1"/>
  <c r="G52" i="41" s="1"/>
  <c r="G53" i="41" s="1"/>
  <c r="G5" i="41"/>
  <c r="G4" i="41"/>
  <c r="M6" i="50"/>
  <c r="M7" i="50"/>
  <c r="M8" i="50"/>
  <c r="M9" i="50"/>
  <c r="M10" i="50"/>
  <c r="M11" i="50"/>
  <c r="M12" i="50"/>
  <c r="M13" i="50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M33" i="50" s="1"/>
  <c r="M34" i="50" s="1"/>
  <c r="M35" i="50" s="1"/>
  <c r="M36" i="50" s="1"/>
  <c r="M37" i="50" s="1"/>
  <c r="M38" i="50" s="1"/>
  <c r="M39" i="50" s="1"/>
  <c r="M40" i="50" s="1"/>
  <c r="M41" i="50" s="1"/>
  <c r="M42" i="50" s="1"/>
  <c r="M43" i="50" s="1"/>
  <c r="M44" i="50" s="1"/>
  <c r="M45" i="50" s="1"/>
  <c r="M46" i="50" s="1"/>
  <c r="M47" i="50" s="1"/>
  <c r="M48" i="50" s="1"/>
  <c r="M49" i="50" s="1"/>
  <c r="M50" i="50" s="1"/>
  <c r="M51" i="50" s="1"/>
  <c r="M52" i="50" s="1"/>
  <c r="M53" i="50" s="1"/>
  <c r="M5" i="50"/>
  <c r="M4" i="50"/>
  <c r="L6" i="50"/>
  <c r="L7" i="50" s="1"/>
  <c r="L8" i="50" s="1"/>
  <c r="L9" i="50" s="1"/>
  <c r="L10" i="50" s="1"/>
  <c r="L11" i="50" s="1"/>
  <c r="L12" i="50" s="1"/>
  <c r="L13" i="50" s="1"/>
  <c r="L14" i="50" s="1"/>
  <c r="L15" i="50" s="1"/>
  <c r="L16" i="50" s="1"/>
  <c r="L17" i="50" s="1"/>
  <c r="L18" i="50" s="1"/>
  <c r="L19" i="50" s="1"/>
  <c r="L20" i="50" s="1"/>
  <c r="L21" i="50" s="1"/>
  <c r="L22" i="50" s="1"/>
  <c r="L23" i="50" s="1"/>
  <c r="L24" i="50" s="1"/>
  <c r="L25" i="50" s="1"/>
  <c r="L26" i="50" s="1"/>
  <c r="L27" i="50" s="1"/>
  <c r="L28" i="50" s="1"/>
  <c r="L29" i="50" s="1"/>
  <c r="L30" i="50" s="1"/>
  <c r="L31" i="50" s="1"/>
  <c r="L32" i="50" s="1"/>
  <c r="L33" i="50" s="1"/>
  <c r="L34" i="50" s="1"/>
  <c r="L35" i="50" s="1"/>
  <c r="L36" i="50" s="1"/>
  <c r="L37" i="50" s="1"/>
  <c r="L38" i="50" s="1"/>
  <c r="L39" i="50" s="1"/>
  <c r="L40" i="50" s="1"/>
  <c r="L41" i="50" s="1"/>
  <c r="L42" i="50" s="1"/>
  <c r="L43" i="50" s="1"/>
  <c r="L44" i="50" s="1"/>
  <c r="L45" i="50" s="1"/>
  <c r="L46" i="50" s="1"/>
  <c r="L47" i="50" s="1"/>
  <c r="L48" i="50" s="1"/>
  <c r="L49" i="50" s="1"/>
  <c r="L50" i="50" s="1"/>
  <c r="L51" i="50" s="1"/>
  <c r="L52" i="50" s="1"/>
  <c r="L53" i="50" s="1"/>
  <c r="L5" i="50"/>
  <c r="L4" i="50"/>
  <c r="K6" i="50"/>
  <c r="K7" i="50" s="1"/>
  <c r="K8" i="50" s="1"/>
  <c r="K9" i="50" s="1"/>
  <c r="K10" i="50" s="1"/>
  <c r="K11" i="50" s="1"/>
  <c r="K12" i="50" s="1"/>
  <c r="K13" i="50" s="1"/>
  <c r="K14" i="50" s="1"/>
  <c r="K15" i="50" s="1"/>
  <c r="K16" i="50" s="1"/>
  <c r="K17" i="50" s="1"/>
  <c r="K18" i="50" s="1"/>
  <c r="K19" i="50" s="1"/>
  <c r="K20" i="50" s="1"/>
  <c r="K21" i="50" s="1"/>
  <c r="K22" i="50" s="1"/>
  <c r="K23" i="50" s="1"/>
  <c r="K24" i="50" s="1"/>
  <c r="K25" i="50" s="1"/>
  <c r="K26" i="50" s="1"/>
  <c r="K27" i="50" s="1"/>
  <c r="K28" i="50" s="1"/>
  <c r="K29" i="50" s="1"/>
  <c r="K30" i="50" s="1"/>
  <c r="K31" i="50" s="1"/>
  <c r="K32" i="50" s="1"/>
  <c r="K33" i="50" s="1"/>
  <c r="K34" i="50" s="1"/>
  <c r="K35" i="50" s="1"/>
  <c r="K36" i="50" s="1"/>
  <c r="K37" i="50" s="1"/>
  <c r="K38" i="50" s="1"/>
  <c r="K39" i="50" s="1"/>
  <c r="K40" i="50" s="1"/>
  <c r="K41" i="50" s="1"/>
  <c r="K42" i="50" s="1"/>
  <c r="K43" i="50" s="1"/>
  <c r="K44" i="50" s="1"/>
  <c r="K45" i="50" s="1"/>
  <c r="K46" i="50" s="1"/>
  <c r="K47" i="50" s="1"/>
  <c r="K48" i="50" s="1"/>
  <c r="K49" i="50" s="1"/>
  <c r="K50" i="50" s="1"/>
  <c r="K51" i="50" s="1"/>
  <c r="K52" i="50" s="1"/>
  <c r="K53" i="50" s="1"/>
  <c r="K5" i="50"/>
  <c r="K4" i="50"/>
  <c r="J6" i="50"/>
  <c r="J7" i="50"/>
  <c r="J8" i="50"/>
  <c r="J9" i="50"/>
  <c r="J10" i="50"/>
  <c r="J11" i="50"/>
  <c r="J12" i="50"/>
  <c r="J13" i="50"/>
  <c r="J14" i="50" s="1"/>
  <c r="J15" i="50" s="1"/>
  <c r="J16" i="50" s="1"/>
  <c r="J17" i="50" s="1"/>
  <c r="J18" i="50" s="1"/>
  <c r="J19" i="50" s="1"/>
  <c r="J20" i="50" s="1"/>
  <c r="J21" i="50" s="1"/>
  <c r="J22" i="50" s="1"/>
  <c r="J23" i="50" s="1"/>
  <c r="J24" i="50" s="1"/>
  <c r="J25" i="50" s="1"/>
  <c r="J26" i="50" s="1"/>
  <c r="J27" i="50" s="1"/>
  <c r="J28" i="50" s="1"/>
  <c r="J29" i="50" s="1"/>
  <c r="J30" i="50" s="1"/>
  <c r="J31" i="50" s="1"/>
  <c r="J32" i="50" s="1"/>
  <c r="J33" i="50" s="1"/>
  <c r="J34" i="50" s="1"/>
  <c r="J35" i="50" s="1"/>
  <c r="J36" i="50" s="1"/>
  <c r="J37" i="50" s="1"/>
  <c r="J38" i="50" s="1"/>
  <c r="J39" i="50" s="1"/>
  <c r="J40" i="50" s="1"/>
  <c r="J41" i="50" s="1"/>
  <c r="J42" i="50" s="1"/>
  <c r="J43" i="50" s="1"/>
  <c r="J44" i="50" s="1"/>
  <c r="J45" i="50" s="1"/>
  <c r="J46" i="50" s="1"/>
  <c r="J47" i="50" s="1"/>
  <c r="J48" i="50" s="1"/>
  <c r="J49" i="50" s="1"/>
  <c r="J50" i="50" s="1"/>
  <c r="J51" i="50" s="1"/>
  <c r="J52" i="50" s="1"/>
  <c r="J53" i="50" s="1"/>
  <c r="J5" i="50"/>
  <c r="J4" i="50"/>
  <c r="I6" i="50"/>
  <c r="I7" i="50"/>
  <c r="I8" i="50"/>
  <c r="I9" i="50"/>
  <c r="I10" i="50"/>
  <c r="I11" i="50"/>
  <c r="I12" i="50"/>
  <c r="I13" i="50" s="1"/>
  <c r="I14" i="50" s="1"/>
  <c r="I15" i="50" s="1"/>
  <c r="I16" i="50" s="1"/>
  <c r="I17" i="50" s="1"/>
  <c r="I18" i="50" s="1"/>
  <c r="I19" i="50" s="1"/>
  <c r="I20" i="50" s="1"/>
  <c r="I21" i="50" s="1"/>
  <c r="I22" i="50" s="1"/>
  <c r="I23" i="50" s="1"/>
  <c r="I24" i="50" s="1"/>
  <c r="I25" i="50" s="1"/>
  <c r="I26" i="50" s="1"/>
  <c r="I27" i="50" s="1"/>
  <c r="I28" i="50" s="1"/>
  <c r="I29" i="50" s="1"/>
  <c r="I30" i="50" s="1"/>
  <c r="I31" i="50" s="1"/>
  <c r="I32" i="50" s="1"/>
  <c r="I33" i="50" s="1"/>
  <c r="I34" i="50" s="1"/>
  <c r="I35" i="50" s="1"/>
  <c r="I36" i="50" s="1"/>
  <c r="I37" i="50" s="1"/>
  <c r="I38" i="50" s="1"/>
  <c r="I39" i="50" s="1"/>
  <c r="I40" i="50" s="1"/>
  <c r="I41" i="50" s="1"/>
  <c r="I42" i="50" s="1"/>
  <c r="I43" i="50" s="1"/>
  <c r="I44" i="50" s="1"/>
  <c r="I45" i="50" s="1"/>
  <c r="I46" i="50" s="1"/>
  <c r="I47" i="50" s="1"/>
  <c r="I48" i="50" s="1"/>
  <c r="I49" i="50" s="1"/>
  <c r="I50" i="50" s="1"/>
  <c r="I51" i="50" s="1"/>
  <c r="I52" i="50" s="1"/>
  <c r="I53" i="50" s="1"/>
  <c r="I5" i="50"/>
  <c r="I4" i="50"/>
  <c r="H6" i="50"/>
  <c r="H7" i="50" s="1"/>
  <c r="H8" i="50" s="1"/>
  <c r="H9" i="50" s="1"/>
  <c r="H10" i="50" s="1"/>
  <c r="H11" i="50" s="1"/>
  <c r="H12" i="50" s="1"/>
  <c r="H13" i="50" s="1"/>
  <c r="H14" i="50" s="1"/>
  <c r="H15" i="50" s="1"/>
  <c r="H16" i="50" s="1"/>
  <c r="H17" i="50" s="1"/>
  <c r="H18" i="50" s="1"/>
  <c r="H19" i="50" s="1"/>
  <c r="H20" i="50" s="1"/>
  <c r="H21" i="50" s="1"/>
  <c r="H22" i="50" s="1"/>
  <c r="H23" i="50" s="1"/>
  <c r="H24" i="50" s="1"/>
  <c r="H25" i="50" s="1"/>
  <c r="H26" i="50" s="1"/>
  <c r="H27" i="50" s="1"/>
  <c r="H28" i="50" s="1"/>
  <c r="H29" i="50" s="1"/>
  <c r="H30" i="50" s="1"/>
  <c r="H31" i="50" s="1"/>
  <c r="H32" i="50" s="1"/>
  <c r="H33" i="50" s="1"/>
  <c r="H34" i="50" s="1"/>
  <c r="H35" i="50" s="1"/>
  <c r="H36" i="50" s="1"/>
  <c r="H37" i="50" s="1"/>
  <c r="H38" i="50" s="1"/>
  <c r="H39" i="50" s="1"/>
  <c r="H40" i="50" s="1"/>
  <c r="H41" i="50" s="1"/>
  <c r="H42" i="50" s="1"/>
  <c r="H43" i="50" s="1"/>
  <c r="H44" i="50" s="1"/>
  <c r="H45" i="50" s="1"/>
  <c r="H46" i="50" s="1"/>
  <c r="H47" i="50" s="1"/>
  <c r="H48" i="50" s="1"/>
  <c r="H49" i="50" s="1"/>
  <c r="H50" i="50" s="1"/>
  <c r="H51" i="50" s="1"/>
  <c r="H52" i="50" s="1"/>
  <c r="H53" i="50" s="1"/>
  <c r="H5" i="50"/>
  <c r="H4" i="50"/>
  <c r="G4" i="50"/>
  <c r="G6" i="50"/>
  <c r="G7" i="50"/>
  <c r="G8" i="50"/>
  <c r="G9" i="50" s="1"/>
  <c r="G10" i="50" s="1"/>
  <c r="G11" i="50" s="1"/>
  <c r="G12" i="50" s="1"/>
  <c r="G13" i="50" s="1"/>
  <c r="G14" i="50" s="1"/>
  <c r="G15" i="50" s="1"/>
  <c r="G16" i="50" s="1"/>
  <c r="G17" i="50" s="1"/>
  <c r="G18" i="50" s="1"/>
  <c r="G19" i="50" s="1"/>
  <c r="G20" i="50" s="1"/>
  <c r="G21" i="50" s="1"/>
  <c r="G22" i="50" s="1"/>
  <c r="G23" i="50" s="1"/>
  <c r="G24" i="50" s="1"/>
  <c r="G25" i="50" s="1"/>
  <c r="G26" i="50" s="1"/>
  <c r="G27" i="50" s="1"/>
  <c r="G28" i="50" s="1"/>
  <c r="G29" i="50" s="1"/>
  <c r="G30" i="50" s="1"/>
  <c r="G31" i="50" s="1"/>
  <c r="G32" i="50" s="1"/>
  <c r="G33" i="50" s="1"/>
  <c r="G34" i="50" s="1"/>
  <c r="G35" i="50" s="1"/>
  <c r="G36" i="50" s="1"/>
  <c r="G37" i="50" s="1"/>
  <c r="G38" i="50" s="1"/>
  <c r="G39" i="50" s="1"/>
  <c r="G40" i="50" s="1"/>
  <c r="G41" i="50" s="1"/>
  <c r="G42" i="50" s="1"/>
  <c r="G43" i="50" s="1"/>
  <c r="G44" i="50" s="1"/>
  <c r="G45" i="50" s="1"/>
  <c r="G46" i="50" s="1"/>
  <c r="G47" i="50" s="1"/>
  <c r="G48" i="50" s="1"/>
  <c r="G49" i="50" s="1"/>
  <c r="G50" i="50" s="1"/>
  <c r="G51" i="50" s="1"/>
  <c r="G52" i="50" s="1"/>
  <c r="G53" i="50" s="1"/>
  <c r="G5" i="50"/>
  <c r="M6" i="42"/>
  <c r="M7" i="42" s="1"/>
  <c r="M8" i="42" s="1"/>
  <c r="M9" i="42" s="1"/>
  <c r="M10" i="42" s="1"/>
  <c r="M11" i="42" s="1"/>
  <c r="M12" i="42" s="1"/>
  <c r="M13" i="42" s="1"/>
  <c r="M14" i="42" s="1"/>
  <c r="M15" i="42" s="1"/>
  <c r="M16" i="42" s="1"/>
  <c r="M17" i="42" s="1"/>
  <c r="M18" i="42" s="1"/>
  <c r="M19" i="42" s="1"/>
  <c r="M20" i="42" s="1"/>
  <c r="M21" i="42" s="1"/>
  <c r="M22" i="42" s="1"/>
  <c r="M23" i="42" s="1"/>
  <c r="M24" i="42" s="1"/>
  <c r="M25" i="42" s="1"/>
  <c r="M26" i="42" s="1"/>
  <c r="M27" i="42" s="1"/>
  <c r="M28" i="42" s="1"/>
  <c r="M29" i="42" s="1"/>
  <c r="M30" i="42" s="1"/>
  <c r="M31" i="42" s="1"/>
  <c r="M32" i="42" s="1"/>
  <c r="M33" i="42" s="1"/>
  <c r="M34" i="42" s="1"/>
  <c r="M35" i="42" s="1"/>
  <c r="M36" i="42" s="1"/>
  <c r="M37" i="42" s="1"/>
  <c r="M38" i="42" s="1"/>
  <c r="M39" i="42" s="1"/>
  <c r="M40" i="42" s="1"/>
  <c r="M41" i="42" s="1"/>
  <c r="M42" i="42" s="1"/>
  <c r="M43" i="42" s="1"/>
  <c r="M44" i="42" s="1"/>
  <c r="M45" i="42" s="1"/>
  <c r="M46" i="42" s="1"/>
  <c r="M47" i="42" s="1"/>
  <c r="M48" i="42" s="1"/>
  <c r="M49" i="42" s="1"/>
  <c r="M50" i="42" s="1"/>
  <c r="M51" i="42" s="1"/>
  <c r="M52" i="42" s="1"/>
  <c r="M53" i="42" s="1"/>
  <c r="M5" i="42"/>
  <c r="M4" i="42"/>
  <c r="L6" i="42"/>
  <c r="L7" i="42"/>
  <c r="L8" i="42"/>
  <c r="L9" i="42"/>
  <c r="L10" i="42" s="1"/>
  <c r="L11" i="42" s="1"/>
  <c r="L12" i="42" s="1"/>
  <c r="L13" i="42" s="1"/>
  <c r="L14" i="42" s="1"/>
  <c r="L15" i="42" s="1"/>
  <c r="L16" i="42" s="1"/>
  <c r="L17" i="42" s="1"/>
  <c r="L18" i="42" s="1"/>
  <c r="L19" i="42" s="1"/>
  <c r="L20" i="42" s="1"/>
  <c r="L21" i="42" s="1"/>
  <c r="L22" i="42" s="1"/>
  <c r="L23" i="42" s="1"/>
  <c r="L24" i="42" s="1"/>
  <c r="L25" i="42" s="1"/>
  <c r="L26" i="42" s="1"/>
  <c r="L27" i="42" s="1"/>
  <c r="L28" i="42" s="1"/>
  <c r="L29" i="42" s="1"/>
  <c r="L30" i="42" s="1"/>
  <c r="L31" i="42" s="1"/>
  <c r="L32" i="42" s="1"/>
  <c r="L33" i="42" s="1"/>
  <c r="L34" i="42" s="1"/>
  <c r="L35" i="42" s="1"/>
  <c r="L36" i="42" s="1"/>
  <c r="L37" i="42" s="1"/>
  <c r="L38" i="42" s="1"/>
  <c r="L39" i="42" s="1"/>
  <c r="L40" i="42" s="1"/>
  <c r="L41" i="42" s="1"/>
  <c r="L42" i="42" s="1"/>
  <c r="L43" i="42" s="1"/>
  <c r="L44" i="42" s="1"/>
  <c r="L45" i="42" s="1"/>
  <c r="L46" i="42" s="1"/>
  <c r="L47" i="42" s="1"/>
  <c r="L48" i="42" s="1"/>
  <c r="L49" i="42" s="1"/>
  <c r="L50" i="42" s="1"/>
  <c r="L51" i="42" s="1"/>
  <c r="L52" i="42" s="1"/>
  <c r="L53" i="42" s="1"/>
  <c r="L5" i="42"/>
  <c r="L4" i="42"/>
  <c r="K4" i="42"/>
  <c r="K6" i="42"/>
  <c r="K7" i="42"/>
  <c r="K8" i="42"/>
  <c r="K9" i="42" s="1"/>
  <c r="K10" i="42" s="1"/>
  <c r="K11" i="42" s="1"/>
  <c r="K12" i="42" s="1"/>
  <c r="K13" i="42" s="1"/>
  <c r="K14" i="42" s="1"/>
  <c r="K15" i="42" s="1"/>
  <c r="K16" i="42" s="1"/>
  <c r="K17" i="42" s="1"/>
  <c r="K18" i="42" s="1"/>
  <c r="K19" i="42" s="1"/>
  <c r="K20" i="42" s="1"/>
  <c r="K21" i="42" s="1"/>
  <c r="K22" i="42" s="1"/>
  <c r="K23" i="42" s="1"/>
  <c r="K24" i="42" s="1"/>
  <c r="K25" i="42" s="1"/>
  <c r="K26" i="42" s="1"/>
  <c r="K27" i="42" s="1"/>
  <c r="K28" i="42" s="1"/>
  <c r="K29" i="42" s="1"/>
  <c r="K30" i="42" s="1"/>
  <c r="K31" i="42" s="1"/>
  <c r="K32" i="42" s="1"/>
  <c r="K33" i="42" s="1"/>
  <c r="K34" i="42" s="1"/>
  <c r="K35" i="42" s="1"/>
  <c r="K36" i="42" s="1"/>
  <c r="K37" i="42" s="1"/>
  <c r="K38" i="42" s="1"/>
  <c r="K39" i="42" s="1"/>
  <c r="K40" i="42" s="1"/>
  <c r="K41" i="42" s="1"/>
  <c r="K42" i="42" s="1"/>
  <c r="K43" i="42" s="1"/>
  <c r="K44" i="42" s="1"/>
  <c r="K45" i="42" s="1"/>
  <c r="K46" i="42" s="1"/>
  <c r="K47" i="42" s="1"/>
  <c r="K48" i="42" s="1"/>
  <c r="K49" i="42" s="1"/>
  <c r="K50" i="42" s="1"/>
  <c r="K51" i="42" s="1"/>
  <c r="K52" i="42" s="1"/>
  <c r="K53" i="42" s="1"/>
  <c r="K5" i="42"/>
  <c r="J6" i="42"/>
  <c r="J7" i="42" s="1"/>
  <c r="J8" i="42" s="1"/>
  <c r="J9" i="42" s="1"/>
  <c r="J10" i="42" s="1"/>
  <c r="J11" i="42" s="1"/>
  <c r="J12" i="42" s="1"/>
  <c r="J13" i="42" s="1"/>
  <c r="J14" i="42" s="1"/>
  <c r="J15" i="42" s="1"/>
  <c r="J16" i="42" s="1"/>
  <c r="J17" i="42" s="1"/>
  <c r="J18" i="42" s="1"/>
  <c r="J19" i="42" s="1"/>
  <c r="J20" i="42" s="1"/>
  <c r="J21" i="42" s="1"/>
  <c r="J22" i="42" s="1"/>
  <c r="J23" i="42" s="1"/>
  <c r="J24" i="42" s="1"/>
  <c r="J25" i="42" s="1"/>
  <c r="J26" i="42" s="1"/>
  <c r="J27" i="42" s="1"/>
  <c r="J28" i="42" s="1"/>
  <c r="J29" i="42" s="1"/>
  <c r="J30" i="42" s="1"/>
  <c r="J31" i="42" s="1"/>
  <c r="J32" i="42" s="1"/>
  <c r="J33" i="42" s="1"/>
  <c r="J34" i="42" s="1"/>
  <c r="J35" i="42" s="1"/>
  <c r="J36" i="42" s="1"/>
  <c r="J37" i="42" s="1"/>
  <c r="J38" i="42" s="1"/>
  <c r="J39" i="42" s="1"/>
  <c r="J40" i="42" s="1"/>
  <c r="J41" i="42" s="1"/>
  <c r="J42" i="42" s="1"/>
  <c r="J43" i="42" s="1"/>
  <c r="J44" i="42" s="1"/>
  <c r="J45" i="42" s="1"/>
  <c r="J46" i="42" s="1"/>
  <c r="J47" i="42" s="1"/>
  <c r="J48" i="42" s="1"/>
  <c r="J49" i="42" s="1"/>
  <c r="J50" i="42" s="1"/>
  <c r="J51" i="42" s="1"/>
  <c r="J52" i="42" s="1"/>
  <c r="J53" i="42" s="1"/>
  <c r="J5" i="42"/>
  <c r="J4" i="42"/>
  <c r="I6" i="42"/>
  <c r="I7" i="42"/>
  <c r="I8" i="42" s="1"/>
  <c r="I9" i="42" s="1"/>
  <c r="I10" i="42" s="1"/>
  <c r="I11" i="42" s="1"/>
  <c r="I12" i="42" s="1"/>
  <c r="I13" i="42" s="1"/>
  <c r="I14" i="42" s="1"/>
  <c r="I15" i="42" s="1"/>
  <c r="I16" i="42" s="1"/>
  <c r="I17" i="42" s="1"/>
  <c r="I18" i="42" s="1"/>
  <c r="I19" i="42" s="1"/>
  <c r="I20" i="42" s="1"/>
  <c r="I21" i="42" s="1"/>
  <c r="I22" i="42" s="1"/>
  <c r="I23" i="42" s="1"/>
  <c r="I24" i="42" s="1"/>
  <c r="I25" i="42" s="1"/>
  <c r="I26" i="42" s="1"/>
  <c r="I27" i="42" s="1"/>
  <c r="I28" i="42" s="1"/>
  <c r="I29" i="42" s="1"/>
  <c r="I30" i="42" s="1"/>
  <c r="I31" i="42" s="1"/>
  <c r="I32" i="42" s="1"/>
  <c r="I33" i="42" s="1"/>
  <c r="I34" i="42" s="1"/>
  <c r="I35" i="42" s="1"/>
  <c r="I36" i="42" s="1"/>
  <c r="I37" i="42" s="1"/>
  <c r="I38" i="42" s="1"/>
  <c r="I39" i="42" s="1"/>
  <c r="I40" i="42" s="1"/>
  <c r="I41" i="42" s="1"/>
  <c r="I42" i="42" s="1"/>
  <c r="I43" i="42" s="1"/>
  <c r="I44" i="42" s="1"/>
  <c r="I45" i="42" s="1"/>
  <c r="I46" i="42" s="1"/>
  <c r="I47" i="42" s="1"/>
  <c r="I48" i="42" s="1"/>
  <c r="I49" i="42" s="1"/>
  <c r="I50" i="42" s="1"/>
  <c r="I51" i="42" s="1"/>
  <c r="I52" i="42" s="1"/>
  <c r="I53" i="42" s="1"/>
  <c r="I5" i="42"/>
  <c r="I4" i="42"/>
  <c r="H6" i="42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H31" i="42" s="1"/>
  <c r="H32" i="42" s="1"/>
  <c r="H33" i="42" s="1"/>
  <c r="H34" i="42" s="1"/>
  <c r="H35" i="42" s="1"/>
  <c r="H36" i="42" s="1"/>
  <c r="H37" i="42" s="1"/>
  <c r="H38" i="42" s="1"/>
  <c r="H39" i="42" s="1"/>
  <c r="H40" i="42" s="1"/>
  <c r="H41" i="42" s="1"/>
  <c r="H42" i="42" s="1"/>
  <c r="H43" i="42" s="1"/>
  <c r="H44" i="42" s="1"/>
  <c r="H45" i="42" s="1"/>
  <c r="H46" i="42" s="1"/>
  <c r="H47" i="42" s="1"/>
  <c r="H48" i="42" s="1"/>
  <c r="H49" i="42" s="1"/>
  <c r="H50" i="42" s="1"/>
  <c r="H51" i="42" s="1"/>
  <c r="H52" i="42" s="1"/>
  <c r="H53" i="42" s="1"/>
  <c r="H5" i="42"/>
  <c r="H4" i="42"/>
  <c r="G6" i="42"/>
  <c r="G7" i="42"/>
  <c r="G8" i="42"/>
  <c r="G9" i="42"/>
  <c r="G10" i="42"/>
  <c r="G11" i="42"/>
  <c r="G12" i="42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G35" i="42" s="1"/>
  <c r="G36" i="42" s="1"/>
  <c r="G37" i="42" s="1"/>
  <c r="G38" i="42" s="1"/>
  <c r="G39" i="42" s="1"/>
  <c r="G40" i="42" s="1"/>
  <c r="G41" i="42" s="1"/>
  <c r="G42" i="42" s="1"/>
  <c r="G43" i="42" s="1"/>
  <c r="G44" i="42" s="1"/>
  <c r="G45" i="42" s="1"/>
  <c r="G46" i="42" s="1"/>
  <c r="G47" i="42" s="1"/>
  <c r="G48" i="42" s="1"/>
  <c r="G49" i="42" s="1"/>
  <c r="G50" i="42" s="1"/>
  <c r="G51" i="42" s="1"/>
  <c r="G52" i="42" s="1"/>
  <c r="G53" i="42" s="1"/>
  <c r="G5" i="42"/>
  <c r="G4" i="42"/>
  <c r="U4" i="43"/>
  <c r="M6" i="43"/>
  <c r="M7" i="43"/>
  <c r="M8" i="43"/>
  <c r="M9" i="43"/>
  <c r="M10" i="43"/>
  <c r="M11" i="43" s="1"/>
  <c r="M12" i="43" s="1"/>
  <c r="M13" i="43" s="1"/>
  <c r="M14" i="43" s="1"/>
  <c r="M15" i="43" s="1"/>
  <c r="M16" i="43" s="1"/>
  <c r="M17" i="43" s="1"/>
  <c r="M18" i="43" s="1"/>
  <c r="M19" i="43" s="1"/>
  <c r="M20" i="43" s="1"/>
  <c r="M21" i="43" s="1"/>
  <c r="M22" i="43" s="1"/>
  <c r="M23" i="43" s="1"/>
  <c r="M24" i="43" s="1"/>
  <c r="M25" i="43" s="1"/>
  <c r="M26" i="43" s="1"/>
  <c r="M27" i="43" s="1"/>
  <c r="M28" i="43" s="1"/>
  <c r="M29" i="43" s="1"/>
  <c r="M30" i="43" s="1"/>
  <c r="M31" i="43" s="1"/>
  <c r="M32" i="43" s="1"/>
  <c r="M33" i="43" s="1"/>
  <c r="M34" i="43" s="1"/>
  <c r="M35" i="43" s="1"/>
  <c r="M36" i="43" s="1"/>
  <c r="M37" i="43" s="1"/>
  <c r="M38" i="43" s="1"/>
  <c r="M39" i="43" s="1"/>
  <c r="M40" i="43" s="1"/>
  <c r="M41" i="43" s="1"/>
  <c r="M42" i="43" s="1"/>
  <c r="M43" i="43" s="1"/>
  <c r="M44" i="43" s="1"/>
  <c r="M45" i="43" s="1"/>
  <c r="M46" i="43" s="1"/>
  <c r="M47" i="43" s="1"/>
  <c r="M48" i="43" s="1"/>
  <c r="M49" i="43" s="1"/>
  <c r="M50" i="43" s="1"/>
  <c r="M51" i="43" s="1"/>
  <c r="M52" i="43" s="1"/>
  <c r="M53" i="43" s="1"/>
  <c r="M5" i="43"/>
  <c r="M4" i="43"/>
  <c r="L6" i="43"/>
  <c r="L7" i="43"/>
  <c r="L8" i="43" s="1"/>
  <c r="L9" i="43" s="1"/>
  <c r="L10" i="43" s="1"/>
  <c r="L11" i="43" s="1"/>
  <c r="L12" i="43" s="1"/>
  <c r="L13" i="43" s="1"/>
  <c r="L14" i="43" s="1"/>
  <c r="L15" i="43" s="1"/>
  <c r="L16" i="43" s="1"/>
  <c r="L17" i="43" s="1"/>
  <c r="L18" i="43" s="1"/>
  <c r="L19" i="43" s="1"/>
  <c r="L20" i="43" s="1"/>
  <c r="L21" i="43" s="1"/>
  <c r="L22" i="43" s="1"/>
  <c r="L23" i="43" s="1"/>
  <c r="L24" i="43" s="1"/>
  <c r="L25" i="43" s="1"/>
  <c r="L26" i="43" s="1"/>
  <c r="L27" i="43" s="1"/>
  <c r="L28" i="43" s="1"/>
  <c r="L29" i="43" s="1"/>
  <c r="L30" i="43" s="1"/>
  <c r="L31" i="43" s="1"/>
  <c r="L32" i="43" s="1"/>
  <c r="L33" i="43" s="1"/>
  <c r="L34" i="43" s="1"/>
  <c r="L35" i="43" s="1"/>
  <c r="L36" i="43" s="1"/>
  <c r="L37" i="43" s="1"/>
  <c r="L38" i="43" s="1"/>
  <c r="L39" i="43" s="1"/>
  <c r="L40" i="43" s="1"/>
  <c r="L41" i="43" s="1"/>
  <c r="L42" i="43" s="1"/>
  <c r="L43" i="43" s="1"/>
  <c r="L44" i="43" s="1"/>
  <c r="L45" i="43" s="1"/>
  <c r="L46" i="43" s="1"/>
  <c r="L47" i="43" s="1"/>
  <c r="L48" i="43" s="1"/>
  <c r="L49" i="43" s="1"/>
  <c r="L50" i="43" s="1"/>
  <c r="L51" i="43" s="1"/>
  <c r="L52" i="43" s="1"/>
  <c r="L53" i="43" s="1"/>
  <c r="L5" i="43"/>
  <c r="L4" i="43"/>
  <c r="K6" i="43"/>
  <c r="K7" i="43" s="1"/>
  <c r="K8" i="43" s="1"/>
  <c r="K9" i="43" s="1"/>
  <c r="K10" i="43" s="1"/>
  <c r="K11" i="43" s="1"/>
  <c r="K12" i="43" s="1"/>
  <c r="K13" i="43" s="1"/>
  <c r="K14" i="43" s="1"/>
  <c r="K15" i="43" s="1"/>
  <c r="K16" i="43" s="1"/>
  <c r="K17" i="43" s="1"/>
  <c r="K18" i="43" s="1"/>
  <c r="K19" i="43" s="1"/>
  <c r="K20" i="43" s="1"/>
  <c r="K21" i="43" s="1"/>
  <c r="K22" i="43" s="1"/>
  <c r="K23" i="43" s="1"/>
  <c r="K24" i="43" s="1"/>
  <c r="K25" i="43" s="1"/>
  <c r="K26" i="43" s="1"/>
  <c r="K27" i="43" s="1"/>
  <c r="K28" i="43" s="1"/>
  <c r="K29" i="43" s="1"/>
  <c r="K30" i="43" s="1"/>
  <c r="K31" i="43" s="1"/>
  <c r="K32" i="43" s="1"/>
  <c r="K33" i="43" s="1"/>
  <c r="K34" i="43" s="1"/>
  <c r="K35" i="43" s="1"/>
  <c r="K36" i="43" s="1"/>
  <c r="K37" i="43" s="1"/>
  <c r="K38" i="43" s="1"/>
  <c r="K39" i="43" s="1"/>
  <c r="K40" i="43" s="1"/>
  <c r="K41" i="43" s="1"/>
  <c r="K42" i="43" s="1"/>
  <c r="K43" i="43" s="1"/>
  <c r="K44" i="43" s="1"/>
  <c r="K45" i="43" s="1"/>
  <c r="K46" i="43" s="1"/>
  <c r="K47" i="43" s="1"/>
  <c r="K48" i="43" s="1"/>
  <c r="K49" i="43" s="1"/>
  <c r="K50" i="43" s="1"/>
  <c r="K51" i="43" s="1"/>
  <c r="K52" i="43" s="1"/>
  <c r="K53" i="43" s="1"/>
  <c r="K5" i="43"/>
  <c r="K4" i="43"/>
  <c r="J6" i="43"/>
  <c r="J7" i="43" s="1"/>
  <c r="J8" i="43" s="1"/>
  <c r="J9" i="43" s="1"/>
  <c r="J10" i="43" s="1"/>
  <c r="J11" i="43" s="1"/>
  <c r="J12" i="43" s="1"/>
  <c r="J13" i="43" s="1"/>
  <c r="J14" i="43" s="1"/>
  <c r="J15" i="43" s="1"/>
  <c r="J16" i="43" s="1"/>
  <c r="J17" i="43" s="1"/>
  <c r="J18" i="43" s="1"/>
  <c r="J19" i="43" s="1"/>
  <c r="J20" i="43" s="1"/>
  <c r="J21" i="43" s="1"/>
  <c r="J22" i="43" s="1"/>
  <c r="J23" i="43" s="1"/>
  <c r="J24" i="43" s="1"/>
  <c r="J25" i="43" s="1"/>
  <c r="J26" i="43" s="1"/>
  <c r="J27" i="43" s="1"/>
  <c r="J28" i="43" s="1"/>
  <c r="J29" i="43" s="1"/>
  <c r="J30" i="43" s="1"/>
  <c r="J31" i="43" s="1"/>
  <c r="J32" i="43" s="1"/>
  <c r="J33" i="43" s="1"/>
  <c r="J34" i="43" s="1"/>
  <c r="J35" i="43" s="1"/>
  <c r="J36" i="43" s="1"/>
  <c r="J37" i="43" s="1"/>
  <c r="J38" i="43" s="1"/>
  <c r="J39" i="43" s="1"/>
  <c r="J40" i="43" s="1"/>
  <c r="J41" i="43" s="1"/>
  <c r="J42" i="43" s="1"/>
  <c r="J43" i="43" s="1"/>
  <c r="J44" i="43" s="1"/>
  <c r="J45" i="43" s="1"/>
  <c r="J46" i="43" s="1"/>
  <c r="J47" i="43" s="1"/>
  <c r="J48" i="43" s="1"/>
  <c r="J49" i="43" s="1"/>
  <c r="J50" i="43" s="1"/>
  <c r="J51" i="43" s="1"/>
  <c r="J52" i="43" s="1"/>
  <c r="J53" i="43" s="1"/>
  <c r="J5" i="43"/>
  <c r="J4" i="43"/>
  <c r="I6" i="43"/>
  <c r="I7" i="43"/>
  <c r="I8" i="43" s="1"/>
  <c r="I9" i="43" s="1"/>
  <c r="I10" i="43" s="1"/>
  <c r="I11" i="43" s="1"/>
  <c r="I12" i="43" s="1"/>
  <c r="I13" i="43" s="1"/>
  <c r="I14" i="43" s="1"/>
  <c r="I15" i="43" s="1"/>
  <c r="I16" i="43" s="1"/>
  <c r="I17" i="43" s="1"/>
  <c r="I18" i="43" s="1"/>
  <c r="I19" i="43" s="1"/>
  <c r="I20" i="43" s="1"/>
  <c r="I21" i="43" s="1"/>
  <c r="I22" i="43" s="1"/>
  <c r="I23" i="43" s="1"/>
  <c r="I24" i="43" s="1"/>
  <c r="I25" i="43" s="1"/>
  <c r="I26" i="43" s="1"/>
  <c r="I27" i="43" s="1"/>
  <c r="I28" i="43" s="1"/>
  <c r="I29" i="43" s="1"/>
  <c r="I30" i="43" s="1"/>
  <c r="I31" i="43" s="1"/>
  <c r="I32" i="43" s="1"/>
  <c r="I33" i="43" s="1"/>
  <c r="I34" i="43" s="1"/>
  <c r="I35" i="43" s="1"/>
  <c r="I36" i="43" s="1"/>
  <c r="I37" i="43" s="1"/>
  <c r="I38" i="43" s="1"/>
  <c r="I39" i="43" s="1"/>
  <c r="I40" i="43" s="1"/>
  <c r="I41" i="43" s="1"/>
  <c r="I42" i="43" s="1"/>
  <c r="I43" i="43" s="1"/>
  <c r="I44" i="43" s="1"/>
  <c r="I45" i="43" s="1"/>
  <c r="I46" i="43" s="1"/>
  <c r="I47" i="43" s="1"/>
  <c r="I48" i="43" s="1"/>
  <c r="I49" i="43" s="1"/>
  <c r="I50" i="43" s="1"/>
  <c r="I51" i="43" s="1"/>
  <c r="I52" i="43" s="1"/>
  <c r="I53" i="43" s="1"/>
  <c r="I5" i="43"/>
  <c r="I4" i="43"/>
  <c r="H6" i="43"/>
  <c r="H7" i="43" s="1"/>
  <c r="H8" i="43" s="1"/>
  <c r="H9" i="43" s="1"/>
  <c r="H10" i="43" s="1"/>
  <c r="H11" i="43" s="1"/>
  <c r="H12" i="43" s="1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H31" i="43" s="1"/>
  <c r="H32" i="43" s="1"/>
  <c r="H33" i="43" s="1"/>
  <c r="H34" i="43" s="1"/>
  <c r="H35" i="43" s="1"/>
  <c r="H36" i="43" s="1"/>
  <c r="H37" i="43" s="1"/>
  <c r="H38" i="43" s="1"/>
  <c r="H39" i="43" s="1"/>
  <c r="H40" i="43" s="1"/>
  <c r="H41" i="43" s="1"/>
  <c r="H42" i="43" s="1"/>
  <c r="H43" i="43" s="1"/>
  <c r="H44" i="43" s="1"/>
  <c r="H45" i="43" s="1"/>
  <c r="H46" i="43" s="1"/>
  <c r="H47" i="43" s="1"/>
  <c r="H48" i="43" s="1"/>
  <c r="H49" i="43" s="1"/>
  <c r="H50" i="43" s="1"/>
  <c r="H51" i="43" s="1"/>
  <c r="H52" i="43" s="1"/>
  <c r="H53" i="43" s="1"/>
  <c r="H5" i="43"/>
  <c r="H4" i="43"/>
  <c r="G6" i="43"/>
  <c r="G7" i="43" s="1"/>
  <c r="G8" i="43" s="1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G35" i="43" s="1"/>
  <c r="G36" i="43" s="1"/>
  <c r="G37" i="43" s="1"/>
  <c r="G38" i="43" s="1"/>
  <c r="G39" i="43" s="1"/>
  <c r="G40" i="43" s="1"/>
  <c r="G41" i="43" s="1"/>
  <c r="G42" i="43" s="1"/>
  <c r="G43" i="43" s="1"/>
  <c r="G44" i="43" s="1"/>
  <c r="G45" i="43" s="1"/>
  <c r="G46" i="43" s="1"/>
  <c r="G47" i="43" s="1"/>
  <c r="G48" i="43" s="1"/>
  <c r="G49" i="43" s="1"/>
  <c r="G50" i="43" s="1"/>
  <c r="G51" i="43" s="1"/>
  <c r="G52" i="43" s="1"/>
  <c r="G53" i="43" s="1"/>
  <c r="G5" i="43"/>
  <c r="G4" i="43"/>
  <c r="M4" i="53"/>
  <c r="M5" i="53" s="1"/>
  <c r="M6" i="53" s="1"/>
  <c r="M7" i="53" s="1"/>
  <c r="M8" i="53" s="1"/>
  <c r="M9" i="53" s="1"/>
  <c r="M10" i="53" s="1"/>
  <c r="M11" i="53" s="1"/>
  <c r="M12" i="53" s="1"/>
  <c r="M13" i="53" s="1"/>
  <c r="M14" i="53" s="1"/>
  <c r="M15" i="53" s="1"/>
  <c r="M16" i="53" s="1"/>
  <c r="M17" i="53" s="1"/>
  <c r="M18" i="53" s="1"/>
  <c r="M19" i="53" s="1"/>
  <c r="M20" i="53" s="1"/>
  <c r="M21" i="53" s="1"/>
  <c r="M22" i="53" s="1"/>
  <c r="M23" i="53" s="1"/>
  <c r="M24" i="53" s="1"/>
  <c r="M25" i="53" s="1"/>
  <c r="M26" i="53" s="1"/>
  <c r="M27" i="53" s="1"/>
  <c r="M28" i="53" s="1"/>
  <c r="M29" i="53" s="1"/>
  <c r="M30" i="53" s="1"/>
  <c r="M31" i="53" s="1"/>
  <c r="M32" i="53" s="1"/>
  <c r="M33" i="53" s="1"/>
  <c r="M34" i="53" s="1"/>
  <c r="M35" i="53" s="1"/>
  <c r="M36" i="53" s="1"/>
  <c r="M37" i="53" s="1"/>
  <c r="M38" i="53" s="1"/>
  <c r="M39" i="53" s="1"/>
  <c r="M40" i="53" s="1"/>
  <c r="M41" i="53" s="1"/>
  <c r="M42" i="53" s="1"/>
  <c r="M43" i="53" s="1"/>
  <c r="M44" i="53" s="1"/>
  <c r="M45" i="53" s="1"/>
  <c r="M46" i="53" s="1"/>
  <c r="M47" i="53" s="1"/>
  <c r="M48" i="53" s="1"/>
  <c r="M49" i="53" s="1"/>
  <c r="M50" i="53" s="1"/>
  <c r="M51" i="53" s="1"/>
  <c r="M52" i="53" s="1"/>
  <c r="M53" i="53" s="1"/>
  <c r="L4" i="53"/>
  <c r="L5" i="53" s="1"/>
  <c r="L6" i="53" s="1"/>
  <c r="L7" i="53" s="1"/>
  <c r="L8" i="53" s="1"/>
  <c r="L9" i="53" s="1"/>
  <c r="L10" i="53" s="1"/>
  <c r="L11" i="53" s="1"/>
  <c r="L12" i="53" s="1"/>
  <c r="L13" i="53" s="1"/>
  <c r="L14" i="53" s="1"/>
  <c r="L15" i="53" s="1"/>
  <c r="L16" i="53" s="1"/>
  <c r="L17" i="53" s="1"/>
  <c r="L18" i="53" s="1"/>
  <c r="L19" i="53" s="1"/>
  <c r="L20" i="53" s="1"/>
  <c r="L21" i="53" s="1"/>
  <c r="L22" i="53" s="1"/>
  <c r="L23" i="53" s="1"/>
  <c r="L24" i="53" s="1"/>
  <c r="L25" i="53" s="1"/>
  <c r="L26" i="53" s="1"/>
  <c r="L27" i="53" s="1"/>
  <c r="L28" i="53" s="1"/>
  <c r="L29" i="53" s="1"/>
  <c r="L30" i="53" s="1"/>
  <c r="L31" i="53" s="1"/>
  <c r="L32" i="53" s="1"/>
  <c r="L33" i="53" s="1"/>
  <c r="L34" i="53" s="1"/>
  <c r="L35" i="53" s="1"/>
  <c r="L36" i="53" s="1"/>
  <c r="L37" i="53" s="1"/>
  <c r="L38" i="53" s="1"/>
  <c r="L39" i="53" s="1"/>
  <c r="L40" i="53" s="1"/>
  <c r="L41" i="53" s="1"/>
  <c r="L42" i="53" s="1"/>
  <c r="L43" i="53" s="1"/>
  <c r="L44" i="53" s="1"/>
  <c r="L45" i="53" s="1"/>
  <c r="L46" i="53" s="1"/>
  <c r="L47" i="53" s="1"/>
  <c r="L48" i="53" s="1"/>
  <c r="L49" i="53" s="1"/>
  <c r="L50" i="53" s="1"/>
  <c r="L51" i="53" s="1"/>
  <c r="L52" i="53" s="1"/>
  <c r="L53" i="53" s="1"/>
  <c r="K4" i="53"/>
  <c r="K5" i="53" s="1"/>
  <c r="K6" i="53" s="1"/>
  <c r="K7" i="53" s="1"/>
  <c r="K8" i="53" s="1"/>
  <c r="K9" i="53" s="1"/>
  <c r="K10" i="53" s="1"/>
  <c r="K11" i="53" s="1"/>
  <c r="K12" i="53" s="1"/>
  <c r="K13" i="53" s="1"/>
  <c r="K14" i="53" s="1"/>
  <c r="K15" i="53" s="1"/>
  <c r="K16" i="53" s="1"/>
  <c r="K17" i="53" s="1"/>
  <c r="K18" i="53" s="1"/>
  <c r="K19" i="53" s="1"/>
  <c r="K20" i="53" s="1"/>
  <c r="K21" i="53" s="1"/>
  <c r="K22" i="53" s="1"/>
  <c r="K23" i="53" s="1"/>
  <c r="K24" i="53" s="1"/>
  <c r="K25" i="53" s="1"/>
  <c r="K26" i="53" s="1"/>
  <c r="K27" i="53" s="1"/>
  <c r="K28" i="53" s="1"/>
  <c r="K29" i="53" s="1"/>
  <c r="K30" i="53" s="1"/>
  <c r="K31" i="53" s="1"/>
  <c r="K32" i="53" s="1"/>
  <c r="K33" i="53" s="1"/>
  <c r="K34" i="53" s="1"/>
  <c r="K35" i="53" s="1"/>
  <c r="K36" i="53" s="1"/>
  <c r="K37" i="53" s="1"/>
  <c r="K38" i="53" s="1"/>
  <c r="K39" i="53" s="1"/>
  <c r="K40" i="53" s="1"/>
  <c r="K41" i="53" s="1"/>
  <c r="K42" i="53" s="1"/>
  <c r="K43" i="53" s="1"/>
  <c r="K44" i="53" s="1"/>
  <c r="K45" i="53" s="1"/>
  <c r="K46" i="53" s="1"/>
  <c r="K47" i="53" s="1"/>
  <c r="K48" i="53" s="1"/>
  <c r="K49" i="53" s="1"/>
  <c r="K50" i="53" s="1"/>
  <c r="K51" i="53" s="1"/>
  <c r="K52" i="53" s="1"/>
  <c r="K53" i="53" s="1"/>
  <c r="J4" i="53"/>
  <c r="J5" i="53" s="1"/>
  <c r="J6" i="53" s="1"/>
  <c r="J7" i="53" s="1"/>
  <c r="J8" i="53" s="1"/>
  <c r="J9" i="53" s="1"/>
  <c r="J10" i="53" s="1"/>
  <c r="J11" i="53" s="1"/>
  <c r="J12" i="53" s="1"/>
  <c r="J13" i="53" s="1"/>
  <c r="J14" i="53" s="1"/>
  <c r="J15" i="53" s="1"/>
  <c r="J16" i="53" s="1"/>
  <c r="J17" i="53" s="1"/>
  <c r="J18" i="53" s="1"/>
  <c r="J19" i="53" s="1"/>
  <c r="J20" i="53" s="1"/>
  <c r="J21" i="53" s="1"/>
  <c r="J22" i="53" s="1"/>
  <c r="J23" i="53" s="1"/>
  <c r="J24" i="53" s="1"/>
  <c r="J25" i="53" s="1"/>
  <c r="J26" i="53" s="1"/>
  <c r="J27" i="53" s="1"/>
  <c r="J28" i="53" s="1"/>
  <c r="J29" i="53" s="1"/>
  <c r="J30" i="53" s="1"/>
  <c r="J31" i="53" s="1"/>
  <c r="J32" i="53" s="1"/>
  <c r="J33" i="53" s="1"/>
  <c r="J34" i="53" s="1"/>
  <c r="J35" i="53" s="1"/>
  <c r="J36" i="53" s="1"/>
  <c r="J37" i="53" s="1"/>
  <c r="J38" i="53" s="1"/>
  <c r="J39" i="53" s="1"/>
  <c r="J40" i="53" s="1"/>
  <c r="J41" i="53" s="1"/>
  <c r="J42" i="53" s="1"/>
  <c r="J43" i="53" s="1"/>
  <c r="J44" i="53" s="1"/>
  <c r="J45" i="53" s="1"/>
  <c r="J46" i="53" s="1"/>
  <c r="J47" i="53" s="1"/>
  <c r="J48" i="53" s="1"/>
  <c r="J49" i="53" s="1"/>
  <c r="J50" i="53" s="1"/>
  <c r="J51" i="53" s="1"/>
  <c r="J52" i="53" s="1"/>
  <c r="J53" i="53" s="1"/>
  <c r="I4" i="53"/>
  <c r="I5" i="53" s="1"/>
  <c r="I6" i="53" s="1"/>
  <c r="I7" i="53" s="1"/>
  <c r="I8" i="53" s="1"/>
  <c r="I9" i="53" s="1"/>
  <c r="I10" i="53" s="1"/>
  <c r="I11" i="53" s="1"/>
  <c r="I12" i="53" s="1"/>
  <c r="I13" i="53" s="1"/>
  <c r="I14" i="53" s="1"/>
  <c r="I15" i="53" s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I31" i="53" s="1"/>
  <c r="I32" i="53" s="1"/>
  <c r="I33" i="53" s="1"/>
  <c r="I34" i="53" s="1"/>
  <c r="I35" i="53" s="1"/>
  <c r="I36" i="53" s="1"/>
  <c r="I37" i="53" s="1"/>
  <c r="I38" i="53" s="1"/>
  <c r="I39" i="53" s="1"/>
  <c r="I40" i="53" s="1"/>
  <c r="I41" i="53" s="1"/>
  <c r="I42" i="53" s="1"/>
  <c r="I43" i="53" s="1"/>
  <c r="I44" i="53" s="1"/>
  <c r="I45" i="53" s="1"/>
  <c r="I46" i="53" s="1"/>
  <c r="I47" i="53" s="1"/>
  <c r="I48" i="53" s="1"/>
  <c r="I49" i="53" s="1"/>
  <c r="I50" i="53" s="1"/>
  <c r="I51" i="53" s="1"/>
  <c r="I52" i="53" s="1"/>
  <c r="I53" i="53" s="1"/>
  <c r="H4" i="53"/>
  <c r="H5" i="53" s="1"/>
  <c r="H6" i="53" s="1"/>
  <c r="H7" i="53" s="1"/>
  <c r="H8" i="53" s="1"/>
  <c r="H9" i="53" s="1"/>
  <c r="H10" i="53" s="1"/>
  <c r="H11" i="53" s="1"/>
  <c r="H12" i="53" s="1"/>
  <c r="H13" i="53" s="1"/>
  <c r="H14" i="53" s="1"/>
  <c r="H15" i="53" s="1"/>
  <c r="H16" i="53" s="1"/>
  <c r="H17" i="53" s="1"/>
  <c r="H18" i="53" s="1"/>
  <c r="H19" i="53" s="1"/>
  <c r="H20" i="53" s="1"/>
  <c r="H21" i="53" s="1"/>
  <c r="H22" i="53" s="1"/>
  <c r="H23" i="53" s="1"/>
  <c r="H24" i="53" s="1"/>
  <c r="H25" i="53" s="1"/>
  <c r="H26" i="53" s="1"/>
  <c r="H27" i="53" s="1"/>
  <c r="H28" i="53" s="1"/>
  <c r="H29" i="53" s="1"/>
  <c r="H30" i="53" s="1"/>
  <c r="H31" i="53" s="1"/>
  <c r="H32" i="53" s="1"/>
  <c r="H33" i="53" s="1"/>
  <c r="H34" i="53" s="1"/>
  <c r="H35" i="53" s="1"/>
  <c r="H36" i="53" s="1"/>
  <c r="H37" i="53" s="1"/>
  <c r="H38" i="53" s="1"/>
  <c r="H39" i="53" s="1"/>
  <c r="H40" i="53" s="1"/>
  <c r="H41" i="53" s="1"/>
  <c r="H42" i="53" s="1"/>
  <c r="H43" i="53" s="1"/>
  <c r="H44" i="53" s="1"/>
  <c r="H45" i="53" s="1"/>
  <c r="H46" i="53" s="1"/>
  <c r="H47" i="53" s="1"/>
  <c r="H48" i="53" s="1"/>
  <c r="H49" i="53" s="1"/>
  <c r="H50" i="53" s="1"/>
  <c r="H51" i="53" s="1"/>
  <c r="H52" i="53" s="1"/>
  <c r="H53" i="53" s="1"/>
  <c r="G4" i="53"/>
  <c r="G5" i="53" s="1"/>
  <c r="G6" i="53" s="1"/>
  <c r="G7" i="53" s="1"/>
  <c r="G8" i="53" s="1"/>
  <c r="G9" i="53" s="1"/>
  <c r="G10" i="53" s="1"/>
  <c r="G11" i="53" s="1"/>
  <c r="G12" i="53" s="1"/>
  <c r="G13" i="53" s="1"/>
  <c r="G14" i="53" s="1"/>
  <c r="G15" i="53" s="1"/>
  <c r="G16" i="53" s="1"/>
  <c r="G17" i="53" s="1"/>
  <c r="G18" i="53" s="1"/>
  <c r="G19" i="53" s="1"/>
  <c r="G20" i="53" s="1"/>
  <c r="G21" i="53" s="1"/>
  <c r="G22" i="53" s="1"/>
  <c r="G23" i="53" s="1"/>
  <c r="G24" i="53" s="1"/>
  <c r="G25" i="53" s="1"/>
  <c r="G26" i="53" s="1"/>
  <c r="G27" i="53" s="1"/>
  <c r="G28" i="53" s="1"/>
  <c r="G29" i="53" s="1"/>
  <c r="G30" i="53" s="1"/>
  <c r="G31" i="53" s="1"/>
  <c r="G32" i="53" s="1"/>
  <c r="G33" i="53" s="1"/>
  <c r="G34" i="53" s="1"/>
  <c r="G35" i="53" s="1"/>
  <c r="G36" i="53" s="1"/>
  <c r="G37" i="53" s="1"/>
  <c r="G38" i="53" s="1"/>
  <c r="G39" i="53" s="1"/>
  <c r="G40" i="53" s="1"/>
  <c r="G41" i="53" s="1"/>
  <c r="G42" i="53" s="1"/>
  <c r="G43" i="53" s="1"/>
  <c r="G44" i="53" s="1"/>
  <c r="G45" i="53" s="1"/>
  <c r="G46" i="53" s="1"/>
  <c r="G47" i="53" s="1"/>
  <c r="G48" i="53" s="1"/>
  <c r="G49" i="53" s="1"/>
  <c r="G50" i="53" s="1"/>
  <c r="G51" i="53" s="1"/>
  <c r="G52" i="53" s="1"/>
  <c r="G53" i="53" s="1"/>
  <c r="BU64" i="51" l="1"/>
  <c r="BH64" i="51"/>
  <c r="AI64" i="51"/>
  <c r="BM6" i="51"/>
  <c r="B5" i="53"/>
  <c r="F5" i="53" s="1"/>
  <c r="P5" i="53" s="1"/>
  <c r="F4" i="53"/>
  <c r="P4" i="53" s="1"/>
  <c r="D4" i="53"/>
  <c r="Q4" i="53" s="1"/>
  <c r="C4" i="53"/>
  <c r="N4" i="53" s="1"/>
  <c r="A4" i="53" a="1"/>
  <c r="A4" i="53" s="1"/>
  <c r="B6" i="53" l="1"/>
  <c r="F6" i="53" s="1"/>
  <c r="P6" i="53" s="1"/>
  <c r="C5" i="53"/>
  <c r="N5" i="53" s="1"/>
  <c r="D5" i="53"/>
  <c r="Q5" i="53" s="1"/>
  <c r="BM7" i="51"/>
  <c r="R5" i="53"/>
  <c r="E4" i="53" l="1"/>
  <c r="O4" i="53" s="1"/>
  <c r="V4" i="53" s="1"/>
  <c r="D6" i="53"/>
  <c r="Q6" i="53" s="1"/>
  <c r="B7" i="53"/>
  <c r="D7" i="53" s="1"/>
  <c r="Q7" i="53" s="1"/>
  <c r="E6" i="53"/>
  <c r="O6" i="53" s="1"/>
  <c r="E5" i="53"/>
  <c r="O5" i="53" s="1"/>
  <c r="S5" i="53" s="1"/>
  <c r="T5" i="53" s="1"/>
  <c r="C6" i="53"/>
  <c r="BM8" i="51"/>
  <c r="BM9" i="51" s="1"/>
  <c r="BM10" i="51" s="1"/>
  <c r="BM11" i="51" s="1"/>
  <c r="BM12" i="51" s="1"/>
  <c r="BM13" i="51" s="1"/>
  <c r="BM14" i="51" s="1"/>
  <c r="BM15" i="51" s="1"/>
  <c r="BM16" i="51" s="1"/>
  <c r="BM17" i="51" s="1"/>
  <c r="BM18" i="51" s="1"/>
  <c r="BM19" i="51" s="1"/>
  <c r="BM20" i="51" s="1"/>
  <c r="BM21" i="51" s="1"/>
  <c r="BM22" i="51" s="1"/>
  <c r="BM23" i="51" s="1"/>
  <c r="BM24" i="51" s="1"/>
  <c r="BM25" i="51" s="1"/>
  <c r="BM26" i="51" s="1"/>
  <c r="BM27" i="51" s="1"/>
  <c r="BM28" i="51" s="1"/>
  <c r="BM29" i="51" s="1"/>
  <c r="BM30" i="51" s="1"/>
  <c r="BM31" i="51" s="1"/>
  <c r="BM32" i="51" s="1"/>
  <c r="BM33" i="51" s="1"/>
  <c r="BM34" i="51" s="1"/>
  <c r="BM35" i="51" s="1"/>
  <c r="BM36" i="51" s="1"/>
  <c r="BM37" i="51" s="1"/>
  <c r="BM38" i="51" s="1"/>
  <c r="BM39" i="51" s="1"/>
  <c r="BM40" i="51" s="1"/>
  <c r="BM41" i="51" s="1"/>
  <c r="BM42" i="51" s="1"/>
  <c r="BM43" i="51" s="1"/>
  <c r="BM44" i="51" s="1"/>
  <c r="BM45" i="51" s="1"/>
  <c r="BM46" i="51" s="1"/>
  <c r="BM47" i="51" s="1"/>
  <c r="BM48" i="51" s="1"/>
  <c r="BM49" i="51" s="1"/>
  <c r="BM50" i="51" s="1"/>
  <c r="BM51" i="51" s="1"/>
  <c r="BM52" i="51" s="1"/>
  <c r="BM53" i="51" s="1"/>
  <c r="BM54" i="51" s="1"/>
  <c r="N6" i="53" l="1"/>
  <c r="U4" i="53"/>
  <c r="F7" i="53"/>
  <c r="P7" i="53" s="1"/>
  <c r="B8" i="53"/>
  <c r="B9" i="53" s="1"/>
  <c r="E7" i="53"/>
  <c r="O7" i="53" s="1"/>
  <c r="C7" i="53"/>
  <c r="N7" i="53" s="1"/>
  <c r="R7" i="53" s="1"/>
  <c r="R4" i="53"/>
  <c r="R6" i="53"/>
  <c r="S6" i="53"/>
  <c r="S4" i="53"/>
  <c r="F8" i="53"/>
  <c r="P8" i="53" s="1"/>
  <c r="E8" i="53"/>
  <c r="S7" i="53" l="1"/>
  <c r="T7" i="53" s="1"/>
  <c r="C8" i="53"/>
  <c r="N8" i="53" s="1"/>
  <c r="S8" i="53" s="1"/>
  <c r="D8" i="53"/>
  <c r="Q8" i="53" s="1"/>
  <c r="T4" i="53"/>
  <c r="T6" i="53"/>
  <c r="O8" i="53"/>
  <c r="D9" i="53"/>
  <c r="Q9" i="53" s="1"/>
  <c r="F9" i="53"/>
  <c r="B10" i="53"/>
  <c r="E9" i="53"/>
  <c r="C9" i="53"/>
  <c r="R8" i="53" l="1"/>
  <c r="N9" i="53"/>
  <c r="P9" i="53"/>
  <c r="O9" i="53"/>
  <c r="T8" i="53"/>
  <c r="B11" i="53"/>
  <c r="E10" i="53"/>
  <c r="D10" i="53"/>
  <c r="Q10" i="53" s="1"/>
  <c r="C10" i="53"/>
  <c r="N10" i="53" s="1"/>
  <c r="F10" i="53"/>
  <c r="P10" i="53" s="1"/>
  <c r="S9" i="53" l="1"/>
  <c r="R9" i="53"/>
  <c r="O10" i="53"/>
  <c r="S10" i="53" s="1"/>
  <c r="R10" i="53"/>
  <c r="B12" i="53"/>
  <c r="E11" i="53"/>
  <c r="D11" i="53"/>
  <c r="Q11" i="53" s="1"/>
  <c r="C11" i="53"/>
  <c r="N11" i="53" s="1"/>
  <c r="F11" i="53"/>
  <c r="T9" i="53" l="1"/>
  <c r="P11" i="53"/>
  <c r="O11" i="53"/>
  <c r="T10" i="53"/>
  <c r="S11" i="53"/>
  <c r="R11" i="53"/>
  <c r="C12" i="53"/>
  <c r="N12" i="53" s="1"/>
  <c r="E12" i="53"/>
  <c r="O12" i="53" s="1"/>
  <c r="D12" i="53"/>
  <c r="Q12" i="53" s="1"/>
  <c r="B13" i="53"/>
  <c r="F12" i="53"/>
  <c r="P12" i="53" s="1"/>
  <c r="T11" i="53" l="1"/>
  <c r="F13" i="53"/>
  <c r="P13" i="53" s="1"/>
  <c r="D13" i="53"/>
  <c r="Q13" i="53" s="1"/>
  <c r="C13" i="53"/>
  <c r="B14" i="53"/>
  <c r="E13" i="53"/>
  <c r="S12" i="53"/>
  <c r="R12" i="53"/>
  <c r="N13" i="53" l="1"/>
  <c r="O13" i="53"/>
  <c r="T12" i="53"/>
  <c r="E14" i="53"/>
  <c r="O14" i="53" s="1"/>
  <c r="B15" i="53"/>
  <c r="F14" i="53"/>
  <c r="P14" i="53" s="1"/>
  <c r="D14" i="53"/>
  <c r="Q14" i="53" s="1"/>
  <c r="C14" i="53"/>
  <c r="N14" i="53" s="1"/>
  <c r="S13" i="53"/>
  <c r="R13" i="53"/>
  <c r="S14" i="53" l="1"/>
  <c r="R14" i="53"/>
  <c r="F15" i="53"/>
  <c r="E15" i="53"/>
  <c r="O15" i="53" s="1"/>
  <c r="D15" i="53"/>
  <c r="Q15" i="53" s="1"/>
  <c r="C15" i="53"/>
  <c r="B16" i="53"/>
  <c r="T13" i="53"/>
  <c r="N15" i="53" l="1"/>
  <c r="P15" i="53"/>
  <c r="C16" i="53"/>
  <c r="N16" i="53" s="1"/>
  <c r="B17" i="53"/>
  <c r="E16" i="53"/>
  <c r="O16" i="53" s="1"/>
  <c r="F16" i="53"/>
  <c r="P16" i="53" s="1"/>
  <c r="D16" i="53"/>
  <c r="Q16" i="53" s="1"/>
  <c r="R15" i="53"/>
  <c r="S15" i="53"/>
  <c r="T14" i="53"/>
  <c r="T15" i="53" l="1"/>
  <c r="D17" i="53"/>
  <c r="Q17" i="53" s="1"/>
  <c r="C17" i="53"/>
  <c r="N17" i="53" s="1"/>
  <c r="F17" i="53"/>
  <c r="P17" i="53" s="1"/>
  <c r="E17" i="53"/>
  <c r="O17" i="53" s="1"/>
  <c r="B18" i="53"/>
  <c r="S16" i="53"/>
  <c r="R16" i="53"/>
  <c r="T16" i="53" l="1"/>
  <c r="B19" i="53"/>
  <c r="E18" i="53"/>
  <c r="O18" i="53" s="1"/>
  <c r="F18" i="53"/>
  <c r="P18" i="53" s="1"/>
  <c r="D18" i="53"/>
  <c r="Q18" i="53" s="1"/>
  <c r="C18" i="53"/>
  <c r="N18" i="53" s="1"/>
  <c r="S17" i="53"/>
  <c r="R17" i="53"/>
  <c r="T17" i="53" l="1"/>
  <c r="S18" i="53"/>
  <c r="R18" i="53"/>
  <c r="F19" i="53"/>
  <c r="P19" i="53" s="1"/>
  <c r="C19" i="53"/>
  <c r="N19" i="53" s="1"/>
  <c r="B20" i="53"/>
  <c r="E19" i="53"/>
  <c r="O19" i="53" s="1"/>
  <c r="D19" i="53"/>
  <c r="Q19" i="53" s="1"/>
  <c r="F20" i="53" l="1"/>
  <c r="P20" i="53" s="1"/>
  <c r="E20" i="53"/>
  <c r="O20" i="53" s="1"/>
  <c r="C20" i="53"/>
  <c r="N20" i="53" s="1"/>
  <c r="B21" i="53"/>
  <c r="D20" i="53"/>
  <c r="Q20" i="53" s="1"/>
  <c r="R19" i="53"/>
  <c r="S19" i="53"/>
  <c r="T18" i="53"/>
  <c r="T19" i="53" l="1"/>
  <c r="D21" i="53"/>
  <c r="Q21" i="53" s="1"/>
  <c r="B22" i="53"/>
  <c r="F21" i="53"/>
  <c r="P21" i="53" s="1"/>
  <c r="E21" i="53"/>
  <c r="O21" i="53" s="1"/>
  <c r="C21" i="53"/>
  <c r="N21" i="53" s="1"/>
  <c r="S20" i="53"/>
  <c r="R20" i="53"/>
  <c r="T20" i="53" l="1"/>
  <c r="S21" i="53"/>
  <c r="R21" i="53"/>
  <c r="B23" i="53"/>
  <c r="E22" i="53"/>
  <c r="O22" i="53" s="1"/>
  <c r="D22" i="53"/>
  <c r="Q22" i="53" s="1"/>
  <c r="C22" i="53"/>
  <c r="N22" i="53" s="1"/>
  <c r="F22" i="53"/>
  <c r="P22" i="53" s="1"/>
  <c r="T21" i="53" l="1"/>
  <c r="S22" i="53"/>
  <c r="R22" i="53"/>
  <c r="B24" i="53"/>
  <c r="F23" i="53"/>
  <c r="P23" i="53" s="1"/>
  <c r="D23" i="53"/>
  <c r="Q23" i="53" s="1"/>
  <c r="C23" i="53"/>
  <c r="N23" i="53" s="1"/>
  <c r="E23" i="53"/>
  <c r="O23" i="53" s="1"/>
  <c r="R23" i="53" l="1"/>
  <c r="S23" i="53"/>
  <c r="C24" i="53"/>
  <c r="N24" i="53" s="1"/>
  <c r="F24" i="53"/>
  <c r="P24" i="53" s="1"/>
  <c r="E24" i="53"/>
  <c r="O24" i="53" s="1"/>
  <c r="B25" i="53"/>
  <c r="D24" i="53"/>
  <c r="Q24" i="53" s="1"/>
  <c r="T22" i="53"/>
  <c r="F25" i="53" l="1"/>
  <c r="P25" i="53" s="1"/>
  <c r="D25" i="53"/>
  <c r="Q25" i="53" s="1"/>
  <c r="E25" i="53"/>
  <c r="O25" i="53" s="1"/>
  <c r="B26" i="53"/>
  <c r="C25" i="53"/>
  <c r="N25" i="53" s="1"/>
  <c r="S24" i="53"/>
  <c r="R24" i="53"/>
  <c r="T23" i="53"/>
  <c r="E26" i="53" l="1"/>
  <c r="O26" i="53" s="1"/>
  <c r="B27" i="53"/>
  <c r="D26" i="53"/>
  <c r="Q26" i="53" s="1"/>
  <c r="C26" i="53"/>
  <c r="N26" i="53" s="1"/>
  <c r="F26" i="53"/>
  <c r="P26" i="53" s="1"/>
  <c r="S25" i="53"/>
  <c r="R25" i="53"/>
  <c r="T24" i="53"/>
  <c r="T25" i="53" l="1"/>
  <c r="S26" i="53"/>
  <c r="R26" i="53"/>
  <c r="F27" i="53"/>
  <c r="P27" i="53" s="1"/>
  <c r="E27" i="53"/>
  <c r="O27" i="53" s="1"/>
  <c r="D27" i="53"/>
  <c r="Q27" i="53" s="1"/>
  <c r="C27" i="53"/>
  <c r="N27" i="53" s="1"/>
  <c r="B28" i="53"/>
  <c r="C28" i="53" l="1"/>
  <c r="N28" i="53" s="1"/>
  <c r="B29" i="53"/>
  <c r="F28" i="53"/>
  <c r="P28" i="53" s="1"/>
  <c r="D28" i="53"/>
  <c r="Q28" i="53" s="1"/>
  <c r="E28" i="53"/>
  <c r="O28" i="53" s="1"/>
  <c r="R27" i="53"/>
  <c r="S27" i="53"/>
  <c r="T26" i="53"/>
  <c r="T27" i="53" l="1"/>
  <c r="D29" i="53"/>
  <c r="Q29" i="53" s="1"/>
  <c r="C29" i="53"/>
  <c r="N29" i="53" s="1"/>
  <c r="F29" i="53"/>
  <c r="P29" i="53" s="1"/>
  <c r="E29" i="53"/>
  <c r="O29" i="53" s="1"/>
  <c r="B30" i="53"/>
  <c r="S28" i="53"/>
  <c r="R28" i="53"/>
  <c r="S29" i="53" l="1"/>
  <c r="R29" i="53"/>
  <c r="T28" i="53"/>
  <c r="B31" i="53"/>
  <c r="E30" i="53"/>
  <c r="O30" i="53" s="1"/>
  <c r="F30" i="53"/>
  <c r="P30" i="53" s="1"/>
  <c r="D30" i="53"/>
  <c r="Q30" i="53" s="1"/>
  <c r="C30" i="53"/>
  <c r="N30" i="53" s="1"/>
  <c r="T29" i="53" l="1"/>
  <c r="F31" i="53"/>
  <c r="P31" i="53" s="1"/>
  <c r="E31" i="53"/>
  <c r="O31" i="53" s="1"/>
  <c r="D31" i="53"/>
  <c r="Q31" i="53" s="1"/>
  <c r="C31" i="53"/>
  <c r="N31" i="53" s="1"/>
  <c r="B32" i="53"/>
  <c r="S30" i="53"/>
  <c r="R30" i="53"/>
  <c r="T30" i="53" l="1"/>
  <c r="F32" i="53"/>
  <c r="P32" i="53" s="1"/>
  <c r="E32" i="53"/>
  <c r="O32" i="53" s="1"/>
  <c r="C32" i="53"/>
  <c r="N32" i="53" s="1"/>
  <c r="B33" i="53"/>
  <c r="D32" i="53"/>
  <c r="Q32" i="53" s="1"/>
  <c r="R31" i="53"/>
  <c r="S31" i="53"/>
  <c r="T31" i="53" l="1"/>
  <c r="D33" i="53"/>
  <c r="Q33" i="53" s="1"/>
  <c r="B34" i="53"/>
  <c r="F33" i="53"/>
  <c r="P33" i="53" s="1"/>
  <c r="E33" i="53"/>
  <c r="O33" i="53" s="1"/>
  <c r="C33" i="53"/>
  <c r="N33" i="53" s="1"/>
  <c r="S32" i="53"/>
  <c r="R32" i="53"/>
  <c r="T32" i="53" l="1"/>
  <c r="S33" i="53"/>
  <c r="R33" i="53"/>
  <c r="B35" i="53"/>
  <c r="E34" i="53"/>
  <c r="O34" i="53" s="1"/>
  <c r="D34" i="53"/>
  <c r="Q34" i="53" s="1"/>
  <c r="C34" i="53"/>
  <c r="N34" i="53" s="1"/>
  <c r="F34" i="53"/>
  <c r="P34" i="53" s="1"/>
  <c r="T33" i="53" l="1"/>
  <c r="R34" i="53"/>
  <c r="S34" i="53"/>
  <c r="B36" i="53"/>
  <c r="F35" i="53"/>
  <c r="P35" i="53" s="1"/>
  <c r="C35" i="53"/>
  <c r="N35" i="53" s="1"/>
  <c r="E35" i="53"/>
  <c r="O35" i="53" s="1"/>
  <c r="D35" i="53"/>
  <c r="Q35" i="53" s="1"/>
  <c r="R35" i="53" l="1"/>
  <c r="S35" i="53"/>
  <c r="C36" i="53"/>
  <c r="N36" i="53" s="1"/>
  <c r="E36" i="53"/>
  <c r="O36" i="53" s="1"/>
  <c r="D36" i="53"/>
  <c r="Q36" i="53" s="1"/>
  <c r="B37" i="53"/>
  <c r="F36" i="53"/>
  <c r="P36" i="53" s="1"/>
  <c r="T34" i="53"/>
  <c r="F37" i="53" l="1"/>
  <c r="P37" i="53" s="1"/>
  <c r="D37" i="53"/>
  <c r="Q37" i="53" s="1"/>
  <c r="E37" i="53"/>
  <c r="O37" i="53" s="1"/>
  <c r="C37" i="53"/>
  <c r="N37" i="53" s="1"/>
  <c r="B38" i="53"/>
  <c r="S36" i="53"/>
  <c r="R36" i="53"/>
  <c r="T35" i="53"/>
  <c r="E38" i="53" l="1"/>
  <c r="O38" i="53" s="1"/>
  <c r="B39" i="53"/>
  <c r="F38" i="53"/>
  <c r="P38" i="53" s="1"/>
  <c r="C38" i="53"/>
  <c r="N38" i="53" s="1"/>
  <c r="D38" i="53"/>
  <c r="Q38" i="53" s="1"/>
  <c r="S37" i="53"/>
  <c r="R37" i="53"/>
  <c r="T36" i="53"/>
  <c r="T37" i="53" l="1"/>
  <c r="F39" i="53"/>
  <c r="P39" i="53" s="1"/>
  <c r="E39" i="53"/>
  <c r="O39" i="53" s="1"/>
  <c r="D39" i="53"/>
  <c r="Q39" i="53" s="1"/>
  <c r="C39" i="53"/>
  <c r="N39" i="53" s="1"/>
  <c r="B40" i="53"/>
  <c r="S38" i="53"/>
  <c r="R38" i="53"/>
  <c r="T38" i="53" l="1"/>
  <c r="R39" i="53"/>
  <c r="S39" i="53"/>
  <c r="C40" i="53"/>
  <c r="N40" i="53" s="1"/>
  <c r="B41" i="53"/>
  <c r="E40" i="53"/>
  <c r="O40" i="53" s="1"/>
  <c r="D40" i="53"/>
  <c r="Q40" i="53" s="1"/>
  <c r="F40" i="53"/>
  <c r="P40" i="53" s="1"/>
  <c r="D41" i="53" l="1"/>
  <c r="Q41" i="53" s="1"/>
  <c r="C41" i="53"/>
  <c r="N41" i="53" s="1"/>
  <c r="E41" i="53"/>
  <c r="O41" i="53" s="1"/>
  <c r="F41" i="53"/>
  <c r="P41" i="53" s="1"/>
  <c r="B42" i="53"/>
  <c r="S40" i="53"/>
  <c r="R40" i="53"/>
  <c r="T39" i="53"/>
  <c r="T40" i="53" l="1"/>
  <c r="S41" i="53"/>
  <c r="R41" i="53"/>
  <c r="B43" i="53"/>
  <c r="E42" i="53"/>
  <c r="O42" i="53" s="1"/>
  <c r="D42" i="53"/>
  <c r="Q42" i="53" s="1"/>
  <c r="F42" i="53"/>
  <c r="P42" i="53" s="1"/>
  <c r="C42" i="53"/>
  <c r="N42" i="53" s="1"/>
  <c r="T41" i="53" l="1"/>
  <c r="S42" i="53"/>
  <c r="R42" i="53"/>
  <c r="F43" i="53"/>
  <c r="P43" i="53" s="1"/>
  <c r="E43" i="53"/>
  <c r="O43" i="53" s="1"/>
  <c r="D43" i="53"/>
  <c r="Q43" i="53" s="1"/>
  <c r="B44" i="53"/>
  <c r="C43" i="53"/>
  <c r="N43" i="53" s="1"/>
  <c r="T42" i="53" l="1"/>
  <c r="R43" i="53"/>
  <c r="S43" i="53"/>
  <c r="F44" i="53"/>
  <c r="P44" i="53" s="1"/>
  <c r="E44" i="53"/>
  <c r="O44" i="53" s="1"/>
  <c r="C44" i="53"/>
  <c r="N44" i="53" s="1"/>
  <c r="D44" i="53"/>
  <c r="Q44" i="53" s="1"/>
  <c r="B45" i="53"/>
  <c r="T43" i="53" l="1"/>
  <c r="D45" i="53"/>
  <c r="Q45" i="53" s="1"/>
  <c r="F45" i="53"/>
  <c r="P45" i="53" s="1"/>
  <c r="B46" i="53"/>
  <c r="E45" i="53"/>
  <c r="O45" i="53" s="1"/>
  <c r="C45" i="53"/>
  <c r="N45" i="53" s="1"/>
  <c r="S44" i="53"/>
  <c r="R44" i="53"/>
  <c r="T44" i="53" l="1"/>
  <c r="R45" i="53"/>
  <c r="S45" i="53"/>
  <c r="B47" i="53"/>
  <c r="E46" i="53"/>
  <c r="O46" i="53" s="1"/>
  <c r="D46" i="53"/>
  <c r="Q46" i="53" s="1"/>
  <c r="C46" i="53"/>
  <c r="N46" i="53" s="1"/>
  <c r="F46" i="53"/>
  <c r="P46" i="53" s="1"/>
  <c r="T45" i="53" l="1"/>
  <c r="B48" i="53"/>
  <c r="F47" i="53"/>
  <c r="P47" i="53" s="1"/>
  <c r="E47" i="53"/>
  <c r="O47" i="53" s="1"/>
  <c r="D47" i="53"/>
  <c r="Q47" i="53" s="1"/>
  <c r="C47" i="53"/>
  <c r="N47" i="53" s="1"/>
  <c r="S46" i="53"/>
  <c r="R46" i="53"/>
  <c r="T46" i="53" l="1"/>
  <c r="R47" i="53"/>
  <c r="S47" i="53"/>
  <c r="C48" i="53"/>
  <c r="N48" i="53" s="1"/>
  <c r="D48" i="53"/>
  <c r="Q48" i="53" s="1"/>
  <c r="B49" i="53"/>
  <c r="F48" i="53"/>
  <c r="P48" i="53" s="1"/>
  <c r="E48" i="53"/>
  <c r="O48" i="53" s="1"/>
  <c r="F49" i="53" l="1"/>
  <c r="P49" i="53" s="1"/>
  <c r="D49" i="53"/>
  <c r="Q49" i="53" s="1"/>
  <c r="C49" i="53"/>
  <c r="N49" i="53" s="1"/>
  <c r="B50" i="53"/>
  <c r="E49" i="53"/>
  <c r="O49" i="53" s="1"/>
  <c r="S48" i="53"/>
  <c r="R48" i="53"/>
  <c r="T47" i="53"/>
  <c r="T48" i="53" l="1"/>
  <c r="E50" i="53"/>
  <c r="O50" i="53" s="1"/>
  <c r="B51" i="53"/>
  <c r="F50" i="53"/>
  <c r="P50" i="53" s="1"/>
  <c r="D50" i="53"/>
  <c r="Q50" i="53" s="1"/>
  <c r="C50" i="53"/>
  <c r="N50" i="53" s="1"/>
  <c r="S49" i="53"/>
  <c r="R49" i="53"/>
  <c r="T49" i="53" l="1"/>
  <c r="F51" i="53"/>
  <c r="P51" i="53" s="1"/>
  <c r="E51" i="53"/>
  <c r="O51" i="53" s="1"/>
  <c r="D51" i="53"/>
  <c r="Q51" i="53" s="1"/>
  <c r="B52" i="53"/>
  <c r="C51" i="53"/>
  <c r="N51" i="53" s="1"/>
  <c r="R50" i="53"/>
  <c r="S50" i="53"/>
  <c r="T50" i="53" l="1"/>
  <c r="C52" i="53"/>
  <c r="N52" i="53" s="1"/>
  <c r="B53" i="53"/>
  <c r="F52" i="53"/>
  <c r="P52" i="53" s="1"/>
  <c r="D52" i="53"/>
  <c r="Q52" i="53" s="1"/>
  <c r="E52" i="53"/>
  <c r="O52" i="53" s="1"/>
  <c r="R51" i="53"/>
  <c r="S51" i="53"/>
  <c r="T51" i="53" l="1"/>
  <c r="D53" i="53"/>
  <c r="C53" i="53"/>
  <c r="F53" i="53"/>
  <c r="E53" i="53"/>
  <c r="S52" i="53"/>
  <c r="R52" i="53"/>
  <c r="P53" i="53" l="1"/>
  <c r="N53" i="53"/>
  <c r="Q53" i="53"/>
  <c r="O53" i="53"/>
  <c r="T52" i="53"/>
  <c r="BW7" i="51" l="1"/>
  <c r="R53" i="53"/>
  <c r="S53" i="53"/>
  <c r="BW40" i="51"/>
  <c r="BW23" i="51"/>
  <c r="BW30" i="51"/>
  <c r="BW29" i="51"/>
  <c r="BW13" i="51"/>
  <c r="BW27" i="51"/>
  <c r="BW8" i="51"/>
  <c r="BW38" i="51"/>
  <c r="BW31" i="51"/>
  <c r="BW26" i="51"/>
  <c r="BW19" i="51"/>
  <c r="BW14" i="51"/>
  <c r="BW50" i="51"/>
  <c r="BW9" i="51"/>
  <c r="BW10" i="51"/>
  <c r="BW47" i="51"/>
  <c r="BW54" i="51"/>
  <c r="BW53" i="51"/>
  <c r="BW21" i="51"/>
  <c r="BW52" i="51"/>
  <c r="BW28" i="51"/>
  <c r="BW11" i="51"/>
  <c r="BW18" i="51"/>
  <c r="BW36" i="51"/>
  <c r="BW49" i="51"/>
  <c r="BW51" i="51"/>
  <c r="BW24" i="51"/>
  <c r="BW43" i="51"/>
  <c r="BW15" i="51"/>
  <c r="BW20" i="51"/>
  <c r="BW16" i="51"/>
  <c r="BW46" i="51"/>
  <c r="BW33" i="51"/>
  <c r="BW37" i="51"/>
  <c r="BW25" i="51"/>
  <c r="BW39" i="51"/>
  <c r="BW12" i="51"/>
  <c r="BW32" i="51"/>
  <c r="BW44" i="51"/>
  <c r="BW17" i="51"/>
  <c r="BW48" i="51"/>
  <c r="BW34" i="51"/>
  <c r="BW45" i="51"/>
  <c r="BW22" i="51"/>
  <c r="BW35" i="51"/>
  <c r="BW42" i="51"/>
  <c r="BW41" i="51"/>
  <c r="T53" i="53" l="1"/>
  <c r="BU32" i="51"/>
  <c r="BV32" i="51" s="1"/>
  <c r="BU17" i="51"/>
  <c r="BV17" i="51" s="1"/>
  <c r="BU35" i="51"/>
  <c r="BV35" i="51" s="1"/>
  <c r="BU21" i="51"/>
  <c r="BV21" i="51" s="1"/>
  <c r="BU14" i="51"/>
  <c r="BV14" i="51" s="1"/>
  <c r="BU6" i="51"/>
  <c r="BV6" i="51" s="1"/>
  <c r="BU20" i="51"/>
  <c r="BV20" i="51" s="1"/>
  <c r="BU33" i="51"/>
  <c r="BV33" i="51" s="1"/>
  <c r="BU24" i="51"/>
  <c r="BV24" i="51" s="1"/>
  <c r="BU10" i="51"/>
  <c r="BV10" i="51" s="1"/>
  <c r="BU38" i="51"/>
  <c r="BV38" i="51" s="1"/>
  <c r="BU13" i="51"/>
  <c r="BV13" i="51" s="1"/>
  <c r="BU40" i="51"/>
  <c r="BV40" i="51" s="1"/>
  <c r="BU26" i="51"/>
  <c r="BV26" i="51" s="1"/>
  <c r="BU34" i="51"/>
  <c r="BV34" i="51" s="1"/>
  <c r="BU31" i="51"/>
  <c r="BV31" i="51" s="1"/>
  <c r="BU36" i="51"/>
  <c r="BV36" i="51" s="1"/>
  <c r="BU12" i="51"/>
  <c r="BV12" i="51" s="1"/>
  <c r="BU22" i="51"/>
  <c r="BV22" i="51" s="1"/>
  <c r="BU44" i="51"/>
  <c r="BV44" i="51" s="1"/>
  <c r="BU50" i="51"/>
  <c r="BV50" i="51" s="1"/>
  <c r="BU52" i="51"/>
  <c r="BV52" i="51" s="1"/>
  <c r="BU19" i="51"/>
  <c r="BV19" i="51" s="1"/>
  <c r="BU29" i="51"/>
  <c r="BV29" i="51" s="1"/>
  <c r="BU5" i="51"/>
  <c r="BV5" i="51" s="1"/>
  <c r="BU51" i="51"/>
  <c r="BV51" i="51" s="1"/>
  <c r="BU7" i="51"/>
  <c r="BV7" i="51" s="1"/>
  <c r="BU48" i="51"/>
  <c r="BV48" i="51" s="1"/>
  <c r="BU15" i="51"/>
  <c r="BV15" i="51" s="1"/>
  <c r="BU39" i="51"/>
  <c r="BV39" i="51" s="1"/>
  <c r="BU11" i="51"/>
  <c r="BV11" i="51" s="1"/>
  <c r="BU9" i="51"/>
  <c r="BV9" i="51" s="1"/>
  <c r="BU41" i="51"/>
  <c r="BV41" i="51" s="1"/>
  <c r="BU16" i="51"/>
  <c r="BV16" i="51" s="1"/>
  <c r="BU49" i="51"/>
  <c r="BV49" i="51" s="1"/>
  <c r="BU37" i="51"/>
  <c r="BV37" i="51" s="1"/>
  <c r="BU8" i="51"/>
  <c r="BV8" i="51" s="1"/>
  <c r="BU18" i="51"/>
  <c r="BV18" i="51" s="1"/>
  <c r="BU45" i="51"/>
  <c r="BV45" i="51" s="1"/>
  <c r="BU46" i="51"/>
  <c r="BV46" i="51" s="1"/>
  <c r="BU30" i="51"/>
  <c r="BV30" i="51" s="1"/>
  <c r="BU43" i="51"/>
  <c r="BV43" i="51" s="1"/>
  <c r="BU42" i="51"/>
  <c r="BV42" i="51" s="1"/>
  <c r="BU27" i="51"/>
  <c r="BV27" i="51" s="1"/>
  <c r="BU53" i="51"/>
  <c r="BV53" i="51" s="1"/>
  <c r="BU54" i="51"/>
  <c r="BV54" i="51" s="1"/>
  <c r="BU23" i="51"/>
  <c r="BV23" i="51" s="1"/>
  <c r="BU47" i="51"/>
  <c r="BV47" i="51" s="1"/>
  <c r="BU25" i="51"/>
  <c r="BV25" i="51" s="1"/>
  <c r="BU28" i="51"/>
  <c r="BV28" i="51" s="1"/>
  <c r="BW55" i="51"/>
  <c r="AZ6" i="51"/>
  <c r="AZ7" i="51" s="1"/>
  <c r="AM6" i="51"/>
  <c r="AM7" i="51" s="1"/>
  <c r="AA6" i="51"/>
  <c r="AA7" i="51" s="1"/>
  <c r="O6" i="51"/>
  <c r="O7" i="51" s="1"/>
  <c r="A5" i="51" a="1"/>
  <c r="A5" i="51" s="1"/>
  <c r="B6" i="51"/>
  <c r="A4" i="42" a="1"/>
  <c r="A4" i="42" s="1"/>
  <c r="B5" i="42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B47" i="42" s="1"/>
  <c r="B48" i="42" s="1"/>
  <c r="B49" i="42" s="1"/>
  <c r="B50" i="42" s="1"/>
  <c r="B51" i="42" s="1"/>
  <c r="B52" i="42" s="1"/>
  <c r="B53" i="42" s="1"/>
  <c r="A4" i="41" a="1"/>
  <c r="A4" i="41" s="1"/>
  <c r="B5" i="41"/>
  <c r="B6" i="41" s="1"/>
  <c r="A4" i="40" a="1"/>
  <c r="A4" i="40" s="1"/>
  <c r="B5" i="40"/>
  <c r="B6" i="40" s="1"/>
  <c r="A4" i="43" a="1"/>
  <c r="A4" i="43" s="1"/>
  <c r="B5" i="43"/>
  <c r="B6" i="43" s="1"/>
  <c r="A4" i="50" a="1"/>
  <c r="A4" i="50" s="1"/>
  <c r="B5" i="50"/>
  <c r="B6" i="50" s="1"/>
  <c r="E5" i="50" s="1"/>
  <c r="B7" i="40" l="1"/>
  <c r="E5" i="40"/>
  <c r="E4" i="40"/>
  <c r="B7" i="41"/>
  <c r="E6" i="41"/>
  <c r="E5" i="41"/>
  <c r="E4" i="41"/>
  <c r="B7" i="50"/>
  <c r="B8" i="50" s="1"/>
  <c r="B9" i="50" s="1"/>
  <c r="B10" i="50" s="1"/>
  <c r="B11" i="50" s="1"/>
  <c r="B12" i="50" s="1"/>
  <c r="B13" i="50" s="1"/>
  <c r="B14" i="50" s="1"/>
  <c r="B15" i="50" s="1"/>
  <c r="B16" i="50" s="1"/>
  <c r="B17" i="50" s="1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B34" i="50" s="1"/>
  <c r="B35" i="50" s="1"/>
  <c r="B36" i="50" s="1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B47" i="50" s="1"/>
  <c r="B48" i="50" s="1"/>
  <c r="B49" i="50" s="1"/>
  <c r="B50" i="50" s="1"/>
  <c r="B51" i="50" s="1"/>
  <c r="B52" i="50" s="1"/>
  <c r="B53" i="50" s="1"/>
  <c r="E6" i="50"/>
  <c r="E4" i="50"/>
  <c r="E5" i="42"/>
  <c r="E4" i="42"/>
  <c r="B7" i="43"/>
  <c r="E6" i="43"/>
  <c r="E5" i="43"/>
  <c r="E4" i="43"/>
  <c r="BV55" i="51"/>
  <c r="AZ8" i="51"/>
  <c r="AZ9" i="51" s="1"/>
  <c r="AZ10" i="51" s="1"/>
  <c r="AZ11" i="51" s="1"/>
  <c r="AZ12" i="51" s="1"/>
  <c r="AZ13" i="51" s="1"/>
  <c r="AZ14" i="51" s="1"/>
  <c r="AZ15" i="51" s="1"/>
  <c r="AZ16" i="51" s="1"/>
  <c r="AZ17" i="51" s="1"/>
  <c r="AZ18" i="51" s="1"/>
  <c r="AZ19" i="51" s="1"/>
  <c r="AZ20" i="51" s="1"/>
  <c r="AZ21" i="51" s="1"/>
  <c r="AZ22" i="51" s="1"/>
  <c r="AZ23" i="51" s="1"/>
  <c r="AZ24" i="51" s="1"/>
  <c r="AZ25" i="51" s="1"/>
  <c r="AZ26" i="51" s="1"/>
  <c r="AZ27" i="51" s="1"/>
  <c r="AZ28" i="51" s="1"/>
  <c r="AZ29" i="51" s="1"/>
  <c r="AZ30" i="51" s="1"/>
  <c r="AZ31" i="51" s="1"/>
  <c r="AZ32" i="51" s="1"/>
  <c r="AZ33" i="51" s="1"/>
  <c r="AZ34" i="51" s="1"/>
  <c r="AZ35" i="51" s="1"/>
  <c r="AZ36" i="51" s="1"/>
  <c r="AZ37" i="51" s="1"/>
  <c r="AZ38" i="51" s="1"/>
  <c r="AZ39" i="51" s="1"/>
  <c r="AZ40" i="51" s="1"/>
  <c r="AZ41" i="51" s="1"/>
  <c r="AZ42" i="51" s="1"/>
  <c r="AZ43" i="51" s="1"/>
  <c r="AZ44" i="51" s="1"/>
  <c r="AZ45" i="51" s="1"/>
  <c r="AZ46" i="51" s="1"/>
  <c r="AZ47" i="51" s="1"/>
  <c r="AZ48" i="51" s="1"/>
  <c r="AZ49" i="51" s="1"/>
  <c r="AZ50" i="51" s="1"/>
  <c r="AZ51" i="51" s="1"/>
  <c r="AZ52" i="51" s="1"/>
  <c r="AZ53" i="51" s="1"/>
  <c r="AZ54" i="51" s="1"/>
  <c r="AM8" i="51"/>
  <c r="AM9" i="51" s="1"/>
  <c r="AM10" i="51" s="1"/>
  <c r="AM11" i="51" s="1"/>
  <c r="AM12" i="51" s="1"/>
  <c r="AM13" i="51" s="1"/>
  <c r="AM14" i="51" s="1"/>
  <c r="AM15" i="51" s="1"/>
  <c r="AM16" i="51" s="1"/>
  <c r="AM17" i="51" s="1"/>
  <c r="AM18" i="51" s="1"/>
  <c r="AM19" i="51" s="1"/>
  <c r="AM20" i="51" s="1"/>
  <c r="AM21" i="51" s="1"/>
  <c r="AM22" i="51" s="1"/>
  <c r="AM23" i="51" s="1"/>
  <c r="AM24" i="51" s="1"/>
  <c r="AM25" i="51" s="1"/>
  <c r="AM26" i="51" s="1"/>
  <c r="AM27" i="51" s="1"/>
  <c r="AM28" i="51" s="1"/>
  <c r="AM29" i="51" s="1"/>
  <c r="AM30" i="51" s="1"/>
  <c r="AM31" i="51" s="1"/>
  <c r="AM32" i="51" s="1"/>
  <c r="AM33" i="51" s="1"/>
  <c r="AM34" i="51" s="1"/>
  <c r="AM35" i="51" s="1"/>
  <c r="AM36" i="51" s="1"/>
  <c r="AM37" i="51" s="1"/>
  <c r="AM38" i="51" s="1"/>
  <c r="AM39" i="51" s="1"/>
  <c r="AM40" i="51" s="1"/>
  <c r="AM41" i="51" s="1"/>
  <c r="AM42" i="51" s="1"/>
  <c r="AM43" i="51" s="1"/>
  <c r="AM44" i="51" s="1"/>
  <c r="AM45" i="51" s="1"/>
  <c r="AM46" i="51" s="1"/>
  <c r="AM47" i="51" s="1"/>
  <c r="AM48" i="51" s="1"/>
  <c r="AM49" i="51" s="1"/>
  <c r="AM50" i="51" s="1"/>
  <c r="AM51" i="51" s="1"/>
  <c r="AM52" i="51" s="1"/>
  <c r="AM53" i="51" s="1"/>
  <c r="AM54" i="51" s="1"/>
  <c r="AA8" i="51"/>
  <c r="AA9" i="51" s="1"/>
  <c r="AA10" i="51" s="1"/>
  <c r="AA11" i="51" s="1"/>
  <c r="AA12" i="51" s="1"/>
  <c r="AA13" i="51" s="1"/>
  <c r="AA14" i="51" s="1"/>
  <c r="AA15" i="51" s="1"/>
  <c r="AA16" i="51" s="1"/>
  <c r="AA17" i="51" s="1"/>
  <c r="AA18" i="51" s="1"/>
  <c r="AA19" i="51" s="1"/>
  <c r="AA20" i="51" s="1"/>
  <c r="AA21" i="51" s="1"/>
  <c r="AA22" i="51" s="1"/>
  <c r="AA23" i="51" s="1"/>
  <c r="AA24" i="51" s="1"/>
  <c r="AA25" i="51" s="1"/>
  <c r="AA26" i="51" s="1"/>
  <c r="AA27" i="51" s="1"/>
  <c r="AA28" i="51" s="1"/>
  <c r="AA29" i="51" s="1"/>
  <c r="AA30" i="51" s="1"/>
  <c r="AA31" i="51" s="1"/>
  <c r="AA32" i="51" s="1"/>
  <c r="AA33" i="51" s="1"/>
  <c r="AA34" i="51" s="1"/>
  <c r="AA35" i="51" s="1"/>
  <c r="AA36" i="51" s="1"/>
  <c r="AA37" i="51" s="1"/>
  <c r="AA38" i="51" s="1"/>
  <c r="AA39" i="51" s="1"/>
  <c r="AA40" i="51" s="1"/>
  <c r="AA41" i="51" s="1"/>
  <c r="AA42" i="51" s="1"/>
  <c r="AA43" i="51" s="1"/>
  <c r="AA44" i="51" s="1"/>
  <c r="AA45" i="51" s="1"/>
  <c r="AA46" i="51" s="1"/>
  <c r="AA47" i="51" s="1"/>
  <c r="AA48" i="51" s="1"/>
  <c r="AA49" i="51" s="1"/>
  <c r="AA50" i="51" s="1"/>
  <c r="AA51" i="51" s="1"/>
  <c r="AA52" i="51" s="1"/>
  <c r="AA53" i="51" s="1"/>
  <c r="AA54" i="51" s="1"/>
  <c r="O8" i="51"/>
  <c r="O9" i="51" s="1"/>
  <c r="O10" i="51" s="1"/>
  <c r="O11" i="51" s="1"/>
  <c r="O12" i="51" s="1"/>
  <c r="O13" i="51" s="1"/>
  <c r="O14" i="51" s="1"/>
  <c r="O15" i="51" s="1"/>
  <c r="O16" i="51" s="1"/>
  <c r="O17" i="51" s="1"/>
  <c r="O18" i="51" s="1"/>
  <c r="O19" i="51" s="1"/>
  <c r="O20" i="51" s="1"/>
  <c r="O21" i="51" s="1"/>
  <c r="O22" i="51" s="1"/>
  <c r="O23" i="51" s="1"/>
  <c r="O24" i="51" s="1"/>
  <c r="O25" i="51" s="1"/>
  <c r="O26" i="51" s="1"/>
  <c r="O27" i="51" s="1"/>
  <c r="O28" i="51" s="1"/>
  <c r="O29" i="51" s="1"/>
  <c r="O30" i="51" s="1"/>
  <c r="O31" i="51" s="1"/>
  <c r="O32" i="51" s="1"/>
  <c r="O33" i="51" s="1"/>
  <c r="O34" i="51" s="1"/>
  <c r="O35" i="51" s="1"/>
  <c r="O36" i="51" s="1"/>
  <c r="O37" i="51" s="1"/>
  <c r="O38" i="51" s="1"/>
  <c r="O39" i="51" s="1"/>
  <c r="O40" i="51" s="1"/>
  <c r="O41" i="51" s="1"/>
  <c r="O42" i="51" s="1"/>
  <c r="O43" i="51" s="1"/>
  <c r="O44" i="51" s="1"/>
  <c r="O45" i="51" s="1"/>
  <c r="O46" i="51" s="1"/>
  <c r="O47" i="51" s="1"/>
  <c r="O48" i="51" s="1"/>
  <c r="O49" i="51" s="1"/>
  <c r="O50" i="51" s="1"/>
  <c r="O51" i="51" s="1"/>
  <c r="O52" i="51" s="1"/>
  <c r="O53" i="51" s="1"/>
  <c r="O54" i="51" s="1"/>
  <c r="B7" i="51"/>
  <c r="B8" i="40" l="1"/>
  <c r="E7" i="40"/>
  <c r="B8" i="41"/>
  <c r="B9" i="41" s="1"/>
  <c r="B10" i="41" s="1"/>
  <c r="B11" i="41" s="1"/>
  <c r="B12" i="41" s="1"/>
  <c r="B13" i="41" s="1"/>
  <c r="B14" i="41" s="1"/>
  <c r="B15" i="41" s="1"/>
  <c r="B16" i="41" s="1"/>
  <c r="B17" i="41" s="1"/>
  <c r="B18" i="41" s="1"/>
  <c r="B19" i="41" s="1"/>
  <c r="B20" i="41" s="1"/>
  <c r="B21" i="41" s="1"/>
  <c r="B22" i="41" s="1"/>
  <c r="B23" i="41" s="1"/>
  <c r="B24" i="41" s="1"/>
  <c r="B25" i="41" s="1"/>
  <c r="B26" i="41" s="1"/>
  <c r="B27" i="41" s="1"/>
  <c r="B28" i="41" s="1"/>
  <c r="B29" i="41" s="1"/>
  <c r="B30" i="41" s="1"/>
  <c r="B31" i="41" s="1"/>
  <c r="B32" i="41" s="1"/>
  <c r="B33" i="41" s="1"/>
  <c r="B34" i="41" s="1"/>
  <c r="B35" i="41" s="1"/>
  <c r="B36" i="41" s="1"/>
  <c r="B37" i="41" s="1"/>
  <c r="B38" i="41" s="1"/>
  <c r="B39" i="41" s="1"/>
  <c r="B40" i="41" s="1"/>
  <c r="B41" i="41" s="1"/>
  <c r="B42" i="41" s="1"/>
  <c r="B43" i="41" s="1"/>
  <c r="B44" i="41" s="1"/>
  <c r="B45" i="41" s="1"/>
  <c r="B46" i="41" s="1"/>
  <c r="B47" i="41" s="1"/>
  <c r="B48" i="41" s="1"/>
  <c r="B49" i="41" s="1"/>
  <c r="B50" i="41" s="1"/>
  <c r="B51" i="41" s="1"/>
  <c r="B52" i="41" s="1"/>
  <c r="B53" i="41" s="1"/>
  <c r="E7" i="41"/>
  <c r="B8" i="43"/>
  <c r="E7" i="43"/>
  <c r="B8" i="51"/>
  <c r="B9" i="51" s="1"/>
  <c r="B10" i="51" s="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C4" i="43"/>
  <c r="B9" i="40" l="1"/>
  <c r="B10" i="40" s="1"/>
  <c r="B11" i="40" s="1"/>
  <c r="B12" i="40" s="1"/>
  <c r="B13" i="40" s="1"/>
  <c r="B14" i="40" s="1"/>
  <c r="B15" i="40" s="1"/>
  <c r="B16" i="40" s="1"/>
  <c r="B17" i="40" s="1"/>
  <c r="B18" i="40" s="1"/>
  <c r="B19" i="40" s="1"/>
  <c r="B20" i="40" s="1"/>
  <c r="B21" i="40" s="1"/>
  <c r="B22" i="40" s="1"/>
  <c r="B23" i="40" s="1"/>
  <c r="B24" i="40" s="1"/>
  <c r="B25" i="40" s="1"/>
  <c r="B26" i="40" s="1"/>
  <c r="B27" i="40" s="1"/>
  <c r="B28" i="40" s="1"/>
  <c r="B29" i="40" s="1"/>
  <c r="B30" i="40" s="1"/>
  <c r="B31" i="40" s="1"/>
  <c r="B32" i="40" s="1"/>
  <c r="B33" i="40" s="1"/>
  <c r="B34" i="40" s="1"/>
  <c r="B35" i="40" s="1"/>
  <c r="B36" i="40" s="1"/>
  <c r="B37" i="40" s="1"/>
  <c r="B38" i="40" s="1"/>
  <c r="B39" i="40" s="1"/>
  <c r="B40" i="40" s="1"/>
  <c r="B41" i="40" s="1"/>
  <c r="B42" i="40" s="1"/>
  <c r="B43" i="40" s="1"/>
  <c r="B44" i="40" s="1"/>
  <c r="B45" i="40" s="1"/>
  <c r="B46" i="40" s="1"/>
  <c r="B47" i="40" s="1"/>
  <c r="B48" i="40" s="1"/>
  <c r="B49" i="40" s="1"/>
  <c r="B50" i="40" s="1"/>
  <c r="B51" i="40" s="1"/>
  <c r="B52" i="40" s="1"/>
  <c r="B53" i="40" s="1"/>
  <c r="E8" i="40"/>
  <c r="N4" i="43"/>
  <c r="B9" i="43"/>
  <c r="E8" i="43"/>
  <c r="B10" i="43" l="1"/>
  <c r="E9" i="43"/>
  <c r="S63" i="51"/>
  <c r="BF63" i="51"/>
  <c r="BD63" i="51"/>
  <c r="BB63" i="51"/>
  <c r="BF62" i="51"/>
  <c r="BD62" i="51"/>
  <c r="BB62" i="51"/>
  <c r="BF61" i="51"/>
  <c r="BD61" i="51"/>
  <c r="BB61" i="51"/>
  <c r="BF60" i="51"/>
  <c r="BB60" i="51"/>
  <c r="AS63" i="51"/>
  <c r="AQ63" i="51"/>
  <c r="AO63" i="51"/>
  <c r="AS62" i="51"/>
  <c r="AQ62" i="51"/>
  <c r="AO62" i="51"/>
  <c r="AS61" i="51"/>
  <c r="AQ61" i="51"/>
  <c r="AO61" i="51"/>
  <c r="AS60" i="51"/>
  <c r="AQ60" i="51"/>
  <c r="AO60" i="51"/>
  <c r="AG63" i="51"/>
  <c r="AE63" i="51"/>
  <c r="AC63" i="51"/>
  <c r="AG62" i="51"/>
  <c r="AE62" i="51"/>
  <c r="AC62" i="51"/>
  <c r="AG61" i="51"/>
  <c r="AE61" i="51"/>
  <c r="AC61" i="51"/>
  <c r="AG60" i="51"/>
  <c r="AE60" i="51"/>
  <c r="AC60" i="51"/>
  <c r="U63" i="51"/>
  <c r="Q63" i="51"/>
  <c r="U62" i="51"/>
  <c r="S62" i="51"/>
  <c r="Q62" i="51"/>
  <c r="U61" i="51"/>
  <c r="S61" i="51"/>
  <c r="Q61" i="51"/>
  <c r="U60" i="51"/>
  <c r="Q60" i="51"/>
  <c r="H61" i="51"/>
  <c r="H62" i="51"/>
  <c r="H63" i="51"/>
  <c r="H60" i="51"/>
  <c r="F61" i="51"/>
  <c r="F62" i="51"/>
  <c r="F60" i="51"/>
  <c r="E63" i="51"/>
  <c r="F63" i="51" s="1"/>
  <c r="D61" i="51"/>
  <c r="D62" i="51"/>
  <c r="D63" i="51"/>
  <c r="D60" i="51"/>
  <c r="B11" i="43" l="1"/>
  <c r="E10" i="43"/>
  <c r="B12" i="43" l="1"/>
  <c r="E11" i="43"/>
  <c r="B13" i="43" l="1"/>
  <c r="E12" i="43"/>
  <c r="F3" i="39"/>
  <c r="G3" i="39" s="1"/>
  <c r="D5" i="50"/>
  <c r="O5" i="50" s="1"/>
  <c r="C5" i="50"/>
  <c r="N5" i="50" s="1"/>
  <c r="F5" i="50"/>
  <c r="Q5" i="50" s="1"/>
  <c r="F4" i="50"/>
  <c r="P4" i="50"/>
  <c r="D4" i="50"/>
  <c r="O4" i="50" s="1"/>
  <c r="C4" i="50"/>
  <c r="F4" i="40"/>
  <c r="F4" i="43"/>
  <c r="F4" i="42"/>
  <c r="P4" i="42"/>
  <c r="F4" i="41"/>
  <c r="P4" i="41"/>
  <c r="D4" i="41"/>
  <c r="P4" i="40"/>
  <c r="C4" i="40"/>
  <c r="A4" i="47"/>
  <c r="A5" i="47" s="1"/>
  <c r="A6" i="47" s="1"/>
  <c r="A7" i="47" s="1"/>
  <c r="A8" i="47" s="1"/>
  <c r="A9" i="47" s="1"/>
  <c r="A10" i="47" s="1"/>
  <c r="A11" i="47" s="1"/>
  <c r="A12" i="47" s="1"/>
  <c r="A13" i="47" s="1"/>
  <c r="A14" i="47" s="1"/>
  <c r="A15" i="47" s="1"/>
  <c r="A16" i="47" s="1"/>
  <c r="A17" i="47" s="1"/>
  <c r="A18" i="47" s="1"/>
  <c r="A19" i="47" s="1"/>
  <c r="A20" i="47" s="1"/>
  <c r="A21" i="47" s="1"/>
  <c r="A22" i="47" s="1"/>
  <c r="A23" i="47" s="1"/>
  <c r="A24" i="47" s="1"/>
  <c r="A25" i="47" s="1"/>
  <c r="A26" i="47" s="1"/>
  <c r="A27" i="47" s="1"/>
  <c r="A28" i="47" s="1"/>
  <c r="A29" i="47" s="1"/>
  <c r="A30" i="47" s="1"/>
  <c r="A31" i="47" s="1"/>
  <c r="A32" i="47" s="1"/>
  <c r="A33" i="47" s="1"/>
  <c r="A34" i="47" s="1"/>
  <c r="A35" i="47" s="1"/>
  <c r="A36" i="47" s="1"/>
  <c r="A37" i="47" s="1"/>
  <c r="A38" i="47" s="1"/>
  <c r="A39" i="47" s="1"/>
  <c r="A40" i="47" s="1"/>
  <c r="A41" i="47" s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80" i="47" s="1"/>
  <c r="A81" i="47" s="1"/>
  <c r="A82" i="47" s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97" i="47" s="1"/>
  <c r="A98" i="47" s="1"/>
  <c r="A99" i="47" s="1"/>
  <c r="A100" i="47" s="1"/>
  <c r="A101" i="47" s="1"/>
  <c r="A102" i="47" s="1"/>
  <c r="A103" i="47" s="1"/>
  <c r="A3" i="47"/>
  <c r="N4" i="40" l="1"/>
  <c r="Q4" i="40"/>
  <c r="Q4" i="41"/>
  <c r="Q4" i="50"/>
  <c r="N4" i="50"/>
  <c r="Q4" i="42"/>
  <c r="Q4" i="43"/>
  <c r="B14" i="43"/>
  <c r="E13" i="43"/>
  <c r="P5" i="50"/>
  <c r="P4" i="43"/>
  <c r="S5" i="50"/>
  <c r="R5" i="50"/>
  <c r="S4" i="50" l="1"/>
  <c r="R4" i="50"/>
  <c r="T4" i="50" s="1"/>
  <c r="V4" i="50"/>
  <c r="B15" i="43"/>
  <c r="E14" i="43"/>
  <c r="C6" i="50"/>
  <c r="P6" i="50"/>
  <c r="F6" i="50"/>
  <c r="D6" i="50"/>
  <c r="O6" i="50" s="1"/>
  <c r="T5" i="50"/>
  <c r="C7" i="50"/>
  <c r="N7" i="50" s="1"/>
  <c r="F7" i="50"/>
  <c r="Q7" i="50" s="1"/>
  <c r="E7" i="50"/>
  <c r="D7" i="50"/>
  <c r="O7" i="50" s="1"/>
  <c r="D4" i="43"/>
  <c r="O4" i="43" s="1"/>
  <c r="V4" i="43" s="1"/>
  <c r="D4" i="42"/>
  <c r="C4" i="42"/>
  <c r="C4" i="41"/>
  <c r="D4" i="40"/>
  <c r="U4" i="50" l="1"/>
  <c r="Q6" i="50"/>
  <c r="N6" i="50"/>
  <c r="S6" i="50" s="1"/>
  <c r="B16" i="43"/>
  <c r="E15" i="43"/>
  <c r="P7" i="50"/>
  <c r="R7" i="50" s="1"/>
  <c r="R6" i="50"/>
  <c r="E8" i="50"/>
  <c r="P8" i="50" s="1"/>
  <c r="D8" i="50"/>
  <c r="O8" i="50" s="1"/>
  <c r="C8" i="50"/>
  <c r="N8" i="50" s="1"/>
  <c r="F8" i="50"/>
  <c r="Q8" i="50" s="1"/>
  <c r="F5" i="42"/>
  <c r="F5" i="43"/>
  <c r="D5" i="43"/>
  <c r="O5" i="43" s="1"/>
  <c r="C5" i="42"/>
  <c r="N5" i="42" s="1"/>
  <c r="P5" i="42"/>
  <c r="F5" i="41"/>
  <c r="P5" i="41"/>
  <c r="N4" i="41"/>
  <c r="D5" i="41"/>
  <c r="O5" i="41" s="1"/>
  <c r="C5" i="41"/>
  <c r="N5" i="41" s="1"/>
  <c r="O4" i="41"/>
  <c r="P5" i="40"/>
  <c r="F5" i="40"/>
  <c r="O4" i="40"/>
  <c r="O4" i="42"/>
  <c r="N4" i="42"/>
  <c r="V4" i="42" s="1"/>
  <c r="C5" i="43"/>
  <c r="F6" i="42"/>
  <c r="D5" i="42"/>
  <c r="O5" i="42" s="1"/>
  <c r="D5" i="40"/>
  <c r="O5" i="40" s="1"/>
  <c r="C5" i="40"/>
  <c r="Q6" i="42" l="1"/>
  <c r="U4" i="42"/>
  <c r="N5" i="40"/>
  <c r="Q5" i="40"/>
  <c r="Q5" i="41"/>
  <c r="T6" i="50"/>
  <c r="S7" i="50"/>
  <c r="T7" i="50" s="1"/>
  <c r="Q5" i="42"/>
  <c r="Q5" i="43"/>
  <c r="B17" i="43"/>
  <c r="E16" i="43"/>
  <c r="N5" i="43"/>
  <c r="S4" i="41"/>
  <c r="V4" i="41"/>
  <c r="R4" i="41"/>
  <c r="R4" i="40"/>
  <c r="S4" i="40"/>
  <c r="P5" i="43"/>
  <c r="S5" i="43" s="1"/>
  <c r="F9" i="50"/>
  <c r="E9" i="50"/>
  <c r="D9" i="50"/>
  <c r="O9" i="50" s="1"/>
  <c r="C9" i="50"/>
  <c r="S8" i="50"/>
  <c r="R8" i="50"/>
  <c r="S4" i="43"/>
  <c r="R4" i="43"/>
  <c r="C6" i="43"/>
  <c r="N6" i="43" s="1"/>
  <c r="P6" i="43"/>
  <c r="F6" i="43"/>
  <c r="Q6" i="43" s="1"/>
  <c r="C6" i="42"/>
  <c r="N6" i="42" s="1"/>
  <c r="E6" i="42"/>
  <c r="R5" i="42"/>
  <c r="R4" i="42"/>
  <c r="S4" i="42"/>
  <c r="F6" i="41"/>
  <c r="P6" i="41"/>
  <c r="C6" i="41"/>
  <c r="D6" i="41"/>
  <c r="E6" i="40"/>
  <c r="F6" i="40"/>
  <c r="Q6" i="40" s="1"/>
  <c r="D6" i="43"/>
  <c r="D6" i="42"/>
  <c r="S5" i="41"/>
  <c r="R5" i="41"/>
  <c r="C6" i="40"/>
  <c r="D6" i="40"/>
  <c r="Q9" i="50" l="1"/>
  <c r="S5" i="42"/>
  <c r="Q6" i="41"/>
  <c r="U4" i="41"/>
  <c r="X4" i="41"/>
  <c r="R5" i="40"/>
  <c r="N6" i="40"/>
  <c r="U4" i="40"/>
  <c r="P6" i="40"/>
  <c r="S5" i="40"/>
  <c r="T5" i="40" s="1"/>
  <c r="N9" i="50"/>
  <c r="T4" i="42"/>
  <c r="B18" i="43"/>
  <c r="E17" i="43"/>
  <c r="R5" i="43"/>
  <c r="T5" i="43" s="1"/>
  <c r="T4" i="41"/>
  <c r="P9" i="50"/>
  <c r="T4" i="43"/>
  <c r="T8" i="50"/>
  <c r="C10" i="50"/>
  <c r="N10" i="50" s="1"/>
  <c r="F10" i="50"/>
  <c r="E10" i="50"/>
  <c r="P10" i="50" s="1"/>
  <c r="D10" i="50"/>
  <c r="O10" i="50" s="1"/>
  <c r="F7" i="42"/>
  <c r="P6" i="42"/>
  <c r="T5" i="42"/>
  <c r="F7" i="43"/>
  <c r="O6" i="43"/>
  <c r="C7" i="42"/>
  <c r="E7" i="42"/>
  <c r="F7" i="41"/>
  <c r="Q7" i="41" s="1"/>
  <c r="P7" i="41"/>
  <c r="C7" i="41"/>
  <c r="N7" i="41" s="1"/>
  <c r="D7" i="41"/>
  <c r="O7" i="41" s="1"/>
  <c r="O6" i="41"/>
  <c r="N6" i="41"/>
  <c r="T4" i="40"/>
  <c r="P7" i="40"/>
  <c r="F7" i="40"/>
  <c r="O6" i="40"/>
  <c r="D7" i="42"/>
  <c r="O6" i="42"/>
  <c r="F8" i="42"/>
  <c r="Q8" i="42" s="1"/>
  <c r="D7" i="43"/>
  <c r="O7" i="43" s="1"/>
  <c r="C7" i="43"/>
  <c r="T5" i="41"/>
  <c r="D7" i="40"/>
  <c r="O7" i="40" s="1"/>
  <c r="C7" i="40"/>
  <c r="S9" i="50" l="1"/>
  <c r="R9" i="50"/>
  <c r="T9" i="50" s="1"/>
  <c r="S6" i="40"/>
  <c r="Q7" i="40"/>
  <c r="V4" i="40"/>
  <c r="Q10" i="50"/>
  <c r="O7" i="42"/>
  <c r="N7" i="42"/>
  <c r="Q7" i="42"/>
  <c r="Q7" i="43"/>
  <c r="B19" i="43"/>
  <c r="E18" i="43"/>
  <c r="N7" i="43"/>
  <c r="P7" i="43"/>
  <c r="F11" i="50"/>
  <c r="E11" i="50"/>
  <c r="D11" i="50"/>
  <c r="O11" i="50" s="1"/>
  <c r="C11" i="50"/>
  <c r="N11" i="50" s="1"/>
  <c r="P8" i="43"/>
  <c r="F8" i="43"/>
  <c r="Q8" i="43" s="1"/>
  <c r="S6" i="43"/>
  <c r="R6" i="43"/>
  <c r="E8" i="42"/>
  <c r="F8" i="41"/>
  <c r="Q8" i="41" s="1"/>
  <c r="E8" i="41"/>
  <c r="S7" i="41"/>
  <c r="R7" i="41"/>
  <c r="C8" i="41"/>
  <c r="D8" i="41"/>
  <c r="O8" i="41" s="1"/>
  <c r="S6" i="41"/>
  <c r="R6" i="41"/>
  <c r="P8" i="40"/>
  <c r="F8" i="40"/>
  <c r="Q8" i="40" s="1"/>
  <c r="N7" i="40"/>
  <c r="S7" i="40" s="1"/>
  <c r="R6" i="40"/>
  <c r="D8" i="42"/>
  <c r="O8" i="42" s="1"/>
  <c r="C8" i="42"/>
  <c r="N8" i="42" s="1"/>
  <c r="R6" i="42"/>
  <c r="S6" i="42"/>
  <c r="D8" i="43"/>
  <c r="C8" i="43"/>
  <c r="C9" i="42"/>
  <c r="N9" i="42" s="1"/>
  <c r="D9" i="42"/>
  <c r="O9" i="42" s="1"/>
  <c r="D8" i="40"/>
  <c r="C8" i="40"/>
  <c r="N8" i="40" s="1"/>
  <c r="T6" i="40" l="1"/>
  <c r="P8" i="41"/>
  <c r="S10" i="50"/>
  <c r="R10" i="50"/>
  <c r="T10" i="50" s="1"/>
  <c r="S7" i="42"/>
  <c r="R7" i="42"/>
  <c r="R7" i="43"/>
  <c r="B20" i="43"/>
  <c r="E19" i="43"/>
  <c r="S7" i="43"/>
  <c r="P11" i="50"/>
  <c r="Q11" i="50"/>
  <c r="D12" i="50"/>
  <c r="O12" i="50" s="1"/>
  <c r="C12" i="50"/>
  <c r="F12" i="50"/>
  <c r="Q12" i="50" s="1"/>
  <c r="E12" i="50"/>
  <c r="P12" i="50" s="1"/>
  <c r="E10" i="42"/>
  <c r="F10" i="42"/>
  <c r="Q10" i="42" s="1"/>
  <c r="P8" i="42"/>
  <c r="S8" i="42" s="1"/>
  <c r="E9" i="42"/>
  <c r="P9" i="42" s="1"/>
  <c r="F9" i="42"/>
  <c r="F9" i="43"/>
  <c r="Q9" i="43" s="1"/>
  <c r="T6" i="43"/>
  <c r="O8" i="43"/>
  <c r="N8" i="43"/>
  <c r="T6" i="42"/>
  <c r="E9" i="41"/>
  <c r="P9" i="41" s="1"/>
  <c r="F9" i="41"/>
  <c r="Q9" i="41" s="1"/>
  <c r="T6" i="41"/>
  <c r="T7" i="41"/>
  <c r="N8" i="41"/>
  <c r="D9" i="41"/>
  <c r="C9" i="41"/>
  <c r="N9" i="41" s="1"/>
  <c r="R7" i="40"/>
  <c r="T7" i="40" s="1"/>
  <c r="E9" i="40"/>
  <c r="F9" i="40"/>
  <c r="Q9" i="40" s="1"/>
  <c r="O8" i="40"/>
  <c r="S8" i="40" s="1"/>
  <c r="D9" i="43"/>
  <c r="O9" i="43" s="1"/>
  <c r="C9" i="43"/>
  <c r="D10" i="42"/>
  <c r="O10" i="42" s="1"/>
  <c r="C10" i="42"/>
  <c r="C9" i="40"/>
  <c r="N9" i="40" s="1"/>
  <c r="D9" i="40"/>
  <c r="O9" i="40" s="1"/>
  <c r="P9" i="40" l="1"/>
  <c r="S9" i="40" s="1"/>
  <c r="S11" i="50"/>
  <c r="R11" i="50"/>
  <c r="N12" i="50"/>
  <c r="S12" i="50" s="1"/>
  <c r="T7" i="42"/>
  <c r="R8" i="42"/>
  <c r="T8" i="42" s="1"/>
  <c r="Q9" i="42"/>
  <c r="N10" i="42"/>
  <c r="R10" i="42" s="1"/>
  <c r="T7" i="43"/>
  <c r="N9" i="43"/>
  <c r="S8" i="43"/>
  <c r="B21" i="43"/>
  <c r="E20" i="43"/>
  <c r="P9" i="43"/>
  <c r="F13" i="50"/>
  <c r="E13" i="50"/>
  <c r="D13" i="50"/>
  <c r="O13" i="50" s="1"/>
  <c r="C13" i="50"/>
  <c r="N13" i="50" s="1"/>
  <c r="E11" i="42"/>
  <c r="P11" i="42" s="1"/>
  <c r="F11" i="42"/>
  <c r="R8" i="43"/>
  <c r="P10" i="43"/>
  <c r="F10" i="43"/>
  <c r="R8" i="40"/>
  <c r="T8" i="40" s="1"/>
  <c r="F10" i="41"/>
  <c r="Q10" i="41" s="1"/>
  <c r="E10" i="41"/>
  <c r="P10" i="41" s="1"/>
  <c r="O9" i="41"/>
  <c r="R9" i="41" s="1"/>
  <c r="D10" i="41"/>
  <c r="O10" i="41" s="1"/>
  <c r="C10" i="41"/>
  <c r="R8" i="41"/>
  <c r="S8" i="41"/>
  <c r="E10" i="40"/>
  <c r="P10" i="40" s="1"/>
  <c r="F10" i="40"/>
  <c r="Q10" i="40" s="1"/>
  <c r="D10" i="43"/>
  <c r="C10" i="43"/>
  <c r="S9" i="43"/>
  <c r="C11" i="42"/>
  <c r="N11" i="42" s="1"/>
  <c r="D11" i="42"/>
  <c r="D10" i="40"/>
  <c r="C10" i="40"/>
  <c r="R9" i="40" l="1"/>
  <c r="T9" i="40" s="1"/>
  <c r="T11" i="50"/>
  <c r="R12" i="50"/>
  <c r="T12" i="50" s="1"/>
  <c r="S9" i="42"/>
  <c r="S10" i="42"/>
  <c r="T10" i="42" s="1"/>
  <c r="R9" i="42"/>
  <c r="T8" i="43"/>
  <c r="R9" i="43"/>
  <c r="T9" i="43" s="1"/>
  <c r="Q10" i="43"/>
  <c r="B22" i="43"/>
  <c r="E21" i="43"/>
  <c r="P13" i="50"/>
  <c r="Q13" i="50"/>
  <c r="F14" i="50"/>
  <c r="Q14" i="50" s="1"/>
  <c r="E14" i="50"/>
  <c r="P14" i="50" s="1"/>
  <c r="D14" i="50"/>
  <c r="O14" i="50" s="1"/>
  <c r="C14" i="50"/>
  <c r="N14" i="50" s="1"/>
  <c r="E12" i="42"/>
  <c r="F12" i="42"/>
  <c r="Q12" i="42" s="1"/>
  <c r="Q11" i="42"/>
  <c r="F11" i="43"/>
  <c r="Q11" i="43" s="1"/>
  <c r="O10" i="43"/>
  <c r="N10" i="43"/>
  <c r="E11" i="41"/>
  <c r="F11" i="41"/>
  <c r="Q11" i="41" s="1"/>
  <c r="S9" i="41"/>
  <c r="T9" i="41" s="1"/>
  <c r="T8" i="41"/>
  <c r="C11" i="41"/>
  <c r="N11" i="41" s="1"/>
  <c r="D11" i="41"/>
  <c r="N10" i="41"/>
  <c r="E11" i="40"/>
  <c r="P11" i="40" s="1"/>
  <c r="F11" i="40"/>
  <c r="Q11" i="40" s="1"/>
  <c r="N10" i="40"/>
  <c r="O10" i="40"/>
  <c r="O11" i="42"/>
  <c r="C11" i="43"/>
  <c r="N11" i="43" s="1"/>
  <c r="D11" i="43"/>
  <c r="O11" i="43" s="1"/>
  <c r="C12" i="42"/>
  <c r="N12" i="42" s="1"/>
  <c r="D12" i="42"/>
  <c r="O12" i="42" s="1"/>
  <c r="C11" i="40"/>
  <c r="N11" i="40" s="1"/>
  <c r="D11" i="40"/>
  <c r="O11" i="40" s="1"/>
  <c r="P11" i="41" l="1"/>
  <c r="R13" i="50"/>
  <c r="S13" i="50"/>
  <c r="T9" i="42"/>
  <c r="S11" i="42"/>
  <c r="B23" i="43"/>
  <c r="E22" i="43"/>
  <c r="R11" i="42"/>
  <c r="T11" i="42" s="1"/>
  <c r="P11" i="43"/>
  <c r="S14" i="50"/>
  <c r="R14" i="50"/>
  <c r="D15" i="50"/>
  <c r="O15" i="50" s="1"/>
  <c r="C15" i="50"/>
  <c r="N15" i="50" s="1"/>
  <c r="F15" i="50"/>
  <c r="E15" i="50"/>
  <c r="E13" i="42"/>
  <c r="P13" i="42" s="1"/>
  <c r="F13" i="42"/>
  <c r="P12" i="42"/>
  <c r="R12" i="42" s="1"/>
  <c r="S10" i="43"/>
  <c r="P12" i="43"/>
  <c r="F12" i="43"/>
  <c r="Q12" i="43" s="1"/>
  <c r="R10" i="43"/>
  <c r="F12" i="41"/>
  <c r="Q12" i="41" s="1"/>
  <c r="E12" i="41"/>
  <c r="P12" i="41" s="1"/>
  <c r="S10" i="41"/>
  <c r="R10" i="41"/>
  <c r="C12" i="41"/>
  <c r="N12" i="41" s="1"/>
  <c r="D12" i="41"/>
  <c r="O12" i="41" s="1"/>
  <c r="O11" i="41"/>
  <c r="S11" i="41" s="1"/>
  <c r="E12" i="40"/>
  <c r="F12" i="40"/>
  <c r="Q12" i="40" s="1"/>
  <c r="S10" i="40"/>
  <c r="R10" i="40"/>
  <c r="R11" i="43"/>
  <c r="S11" i="43"/>
  <c r="D12" i="43"/>
  <c r="O12" i="43" s="1"/>
  <c r="C12" i="43"/>
  <c r="C13" i="42"/>
  <c r="N13" i="42" s="1"/>
  <c r="D13" i="42"/>
  <c r="O13" i="42" s="1"/>
  <c r="S11" i="40"/>
  <c r="R11" i="40"/>
  <c r="C12" i="40"/>
  <c r="N12" i="40" s="1"/>
  <c r="D12" i="40"/>
  <c r="O12" i="40" s="1"/>
  <c r="P12" i="40" l="1"/>
  <c r="R12" i="40" s="1"/>
  <c r="T13" i="50"/>
  <c r="S12" i="42"/>
  <c r="T12" i="42" s="1"/>
  <c r="T10" i="43"/>
  <c r="B24" i="43"/>
  <c r="E23" i="43"/>
  <c r="P15" i="50"/>
  <c r="Q15" i="50"/>
  <c r="S15" i="50" s="1"/>
  <c r="F16" i="50"/>
  <c r="Q16" i="50" s="1"/>
  <c r="E16" i="50"/>
  <c r="P16" i="50" s="1"/>
  <c r="D16" i="50"/>
  <c r="O16" i="50" s="1"/>
  <c r="C16" i="50"/>
  <c r="N16" i="50" s="1"/>
  <c r="T14" i="50"/>
  <c r="E14" i="42"/>
  <c r="P14" i="42" s="1"/>
  <c r="F14" i="42"/>
  <c r="Q14" i="42" s="1"/>
  <c r="Q13" i="42"/>
  <c r="S13" i="42" s="1"/>
  <c r="P13" i="43"/>
  <c r="F13" i="43"/>
  <c r="Q13" i="43" s="1"/>
  <c r="T10" i="40"/>
  <c r="N12" i="43"/>
  <c r="S12" i="43" s="1"/>
  <c r="T11" i="43"/>
  <c r="F13" i="41"/>
  <c r="Q13" i="41" s="1"/>
  <c r="E13" i="41"/>
  <c r="R11" i="41"/>
  <c r="T11" i="41" s="1"/>
  <c r="T10" i="41"/>
  <c r="S12" i="41"/>
  <c r="R12" i="41"/>
  <c r="D13" i="41"/>
  <c r="O13" i="41" s="1"/>
  <c r="C13" i="41"/>
  <c r="N13" i="41" s="1"/>
  <c r="E13" i="40"/>
  <c r="P13" i="40" s="1"/>
  <c r="F13" i="40"/>
  <c r="Q13" i="40" s="1"/>
  <c r="T11" i="40"/>
  <c r="D13" i="43"/>
  <c r="O13" i="43" s="1"/>
  <c r="C13" i="43"/>
  <c r="N13" i="43" s="1"/>
  <c r="D14" i="42"/>
  <c r="O14" i="42" s="1"/>
  <c r="C14" i="42"/>
  <c r="N14" i="42" s="1"/>
  <c r="D13" i="40"/>
  <c r="O13" i="40" s="1"/>
  <c r="C13" i="40"/>
  <c r="N13" i="40" s="1"/>
  <c r="R15" i="50" l="1"/>
  <c r="S12" i="40"/>
  <c r="T12" i="40" s="1"/>
  <c r="T12" i="41"/>
  <c r="P13" i="41"/>
  <c r="R13" i="42"/>
  <c r="T13" i="42" s="1"/>
  <c r="B25" i="43"/>
  <c r="E24" i="43"/>
  <c r="T15" i="50"/>
  <c r="S16" i="50"/>
  <c r="R16" i="50"/>
  <c r="E17" i="50"/>
  <c r="P17" i="50" s="1"/>
  <c r="D17" i="50"/>
  <c r="O17" i="50" s="1"/>
  <c r="C17" i="50"/>
  <c r="N17" i="50" s="1"/>
  <c r="F17" i="50"/>
  <c r="Q17" i="50" s="1"/>
  <c r="E15" i="42"/>
  <c r="P15" i="42" s="1"/>
  <c r="F15" i="42"/>
  <c r="Q15" i="42" s="1"/>
  <c r="P14" i="43"/>
  <c r="F14" i="43"/>
  <c r="Q14" i="43" s="1"/>
  <c r="R12" i="43"/>
  <c r="T12" i="43" s="1"/>
  <c r="E14" i="41"/>
  <c r="P14" i="41" s="1"/>
  <c r="F14" i="41"/>
  <c r="Q14" i="41" s="1"/>
  <c r="R13" i="41"/>
  <c r="S13" i="41"/>
  <c r="D14" i="41"/>
  <c r="O14" i="41" s="1"/>
  <c r="C14" i="41"/>
  <c r="N14" i="41" s="1"/>
  <c r="E14" i="40"/>
  <c r="F14" i="40"/>
  <c r="Q14" i="40" s="1"/>
  <c r="R13" i="43"/>
  <c r="S13" i="43"/>
  <c r="D14" i="43"/>
  <c r="O14" i="43" s="1"/>
  <c r="C14" i="43"/>
  <c r="N14" i="43" s="1"/>
  <c r="R14" i="42"/>
  <c r="S14" i="42"/>
  <c r="C15" i="42"/>
  <c r="N15" i="42" s="1"/>
  <c r="D15" i="42"/>
  <c r="O15" i="42" s="1"/>
  <c r="S13" i="40"/>
  <c r="R13" i="40"/>
  <c r="D14" i="40"/>
  <c r="O14" i="40" s="1"/>
  <c r="C14" i="40"/>
  <c r="N14" i="40" s="1"/>
  <c r="P14" i="40" l="1"/>
  <c r="S14" i="40" s="1"/>
  <c r="B26" i="43"/>
  <c r="E25" i="43"/>
  <c r="T16" i="50"/>
  <c r="S17" i="50"/>
  <c r="R17" i="50"/>
  <c r="F18" i="50"/>
  <c r="Q18" i="50" s="1"/>
  <c r="E18" i="50"/>
  <c r="P18" i="50" s="1"/>
  <c r="D18" i="50"/>
  <c r="O18" i="50" s="1"/>
  <c r="C18" i="50"/>
  <c r="N18" i="50" s="1"/>
  <c r="E16" i="42"/>
  <c r="P16" i="42" s="1"/>
  <c r="F16" i="42"/>
  <c r="Q16" i="42" s="1"/>
  <c r="F15" i="43"/>
  <c r="Q15" i="43" s="1"/>
  <c r="P15" i="43"/>
  <c r="T13" i="43"/>
  <c r="F15" i="41"/>
  <c r="Q15" i="41" s="1"/>
  <c r="E15" i="41"/>
  <c r="C15" i="41"/>
  <c r="N15" i="41" s="1"/>
  <c r="D15" i="41"/>
  <c r="O15" i="41" s="1"/>
  <c r="S14" i="41"/>
  <c r="R14" i="41"/>
  <c r="T14" i="41" s="1"/>
  <c r="T13" i="41"/>
  <c r="E15" i="40"/>
  <c r="P15" i="40" s="1"/>
  <c r="F15" i="40"/>
  <c r="Q15" i="40" s="1"/>
  <c r="T13" i="40"/>
  <c r="S14" i="43"/>
  <c r="R14" i="43"/>
  <c r="C15" i="43"/>
  <c r="N15" i="43" s="1"/>
  <c r="D15" i="43"/>
  <c r="O15" i="43" s="1"/>
  <c r="D16" i="42"/>
  <c r="O16" i="42" s="1"/>
  <c r="C16" i="42"/>
  <c r="N16" i="42" s="1"/>
  <c r="S15" i="42"/>
  <c r="R15" i="42"/>
  <c r="T14" i="42"/>
  <c r="D15" i="40"/>
  <c r="O15" i="40" s="1"/>
  <c r="C15" i="40"/>
  <c r="N15" i="40" s="1"/>
  <c r="R14" i="40" l="1"/>
  <c r="T14" i="40" s="1"/>
  <c r="S15" i="40"/>
  <c r="P15" i="41"/>
  <c r="B27" i="43"/>
  <c r="E26" i="43"/>
  <c r="S18" i="50"/>
  <c r="R18" i="50"/>
  <c r="F19" i="50"/>
  <c r="Q19" i="50" s="1"/>
  <c r="E19" i="50"/>
  <c r="P19" i="50" s="1"/>
  <c r="D19" i="50"/>
  <c r="O19" i="50" s="1"/>
  <c r="C19" i="50"/>
  <c r="N19" i="50" s="1"/>
  <c r="T17" i="50"/>
  <c r="E17" i="42"/>
  <c r="P17" i="42" s="1"/>
  <c r="F17" i="42"/>
  <c r="Q17" i="42" s="1"/>
  <c r="F16" i="43"/>
  <c r="Q16" i="43" s="1"/>
  <c r="P16" i="43"/>
  <c r="T14" i="43"/>
  <c r="E16" i="41"/>
  <c r="P16" i="41" s="1"/>
  <c r="F16" i="41"/>
  <c r="Q16" i="41" s="1"/>
  <c r="C16" i="41"/>
  <c r="N16" i="41" s="1"/>
  <c r="D16" i="41"/>
  <c r="O16" i="41" s="1"/>
  <c r="S15" i="41"/>
  <c r="R15" i="41"/>
  <c r="E16" i="40"/>
  <c r="P16" i="40" s="1"/>
  <c r="F16" i="40"/>
  <c r="Q16" i="40" s="1"/>
  <c r="D16" i="43"/>
  <c r="O16" i="43" s="1"/>
  <c r="C16" i="43"/>
  <c r="N16" i="43" s="1"/>
  <c r="R15" i="43"/>
  <c r="S15" i="43"/>
  <c r="T15" i="42"/>
  <c r="S16" i="42"/>
  <c r="R16" i="42"/>
  <c r="D17" i="42"/>
  <c r="O17" i="42" s="1"/>
  <c r="C17" i="42"/>
  <c r="N17" i="42" s="1"/>
  <c r="R15" i="40"/>
  <c r="C16" i="40"/>
  <c r="N16" i="40" s="1"/>
  <c r="D16" i="40"/>
  <c r="O16" i="40" s="1"/>
  <c r="T15" i="40" l="1"/>
  <c r="T15" i="41"/>
  <c r="B28" i="43"/>
  <c r="E27" i="43"/>
  <c r="T18" i="50"/>
  <c r="S19" i="50"/>
  <c r="R19" i="50"/>
  <c r="E20" i="50"/>
  <c r="P20" i="50" s="1"/>
  <c r="D20" i="50"/>
  <c r="O20" i="50" s="1"/>
  <c r="C20" i="50"/>
  <c r="N20" i="50" s="1"/>
  <c r="F20" i="50"/>
  <c r="Q20" i="50" s="1"/>
  <c r="E18" i="42"/>
  <c r="P18" i="42" s="1"/>
  <c r="F18" i="42"/>
  <c r="Q18" i="42" s="1"/>
  <c r="P17" i="43"/>
  <c r="F17" i="43"/>
  <c r="Q17" i="43" s="1"/>
  <c r="F17" i="41"/>
  <c r="Q17" i="41" s="1"/>
  <c r="E17" i="41"/>
  <c r="P17" i="41" s="1"/>
  <c r="C17" i="41"/>
  <c r="N17" i="41" s="1"/>
  <c r="D17" i="41"/>
  <c r="O17" i="41" s="1"/>
  <c r="S16" i="41"/>
  <c r="R16" i="41"/>
  <c r="E17" i="40"/>
  <c r="P17" i="40" s="1"/>
  <c r="F17" i="40"/>
  <c r="Q17" i="40" s="1"/>
  <c r="T16" i="42"/>
  <c r="T15" i="43"/>
  <c r="R16" i="43"/>
  <c r="S16" i="43"/>
  <c r="C17" i="43"/>
  <c r="N17" i="43" s="1"/>
  <c r="D17" i="43"/>
  <c r="O17" i="43" s="1"/>
  <c r="R17" i="42"/>
  <c r="S17" i="42"/>
  <c r="D18" i="42"/>
  <c r="O18" i="42" s="1"/>
  <c r="C18" i="42"/>
  <c r="N18" i="42" s="1"/>
  <c r="S16" i="40"/>
  <c r="R16" i="40"/>
  <c r="C17" i="40"/>
  <c r="N17" i="40" s="1"/>
  <c r="D17" i="40"/>
  <c r="O17" i="40" s="1"/>
  <c r="B29" i="43" l="1"/>
  <c r="E28" i="43"/>
  <c r="F21" i="50"/>
  <c r="Q21" i="50" s="1"/>
  <c r="E21" i="50"/>
  <c r="P21" i="50" s="1"/>
  <c r="D21" i="50"/>
  <c r="O21" i="50" s="1"/>
  <c r="C21" i="50"/>
  <c r="N21" i="50" s="1"/>
  <c r="S20" i="50"/>
  <c r="R20" i="50"/>
  <c r="T19" i="50"/>
  <c r="E19" i="42"/>
  <c r="P19" i="42" s="1"/>
  <c r="F19" i="42"/>
  <c r="Q19" i="42" s="1"/>
  <c r="P18" i="43"/>
  <c r="F18" i="43"/>
  <c r="Q18" i="43" s="1"/>
  <c r="T16" i="41"/>
  <c r="F18" i="41"/>
  <c r="Q18" i="41" s="1"/>
  <c r="E18" i="41"/>
  <c r="P18" i="41" s="1"/>
  <c r="C18" i="41"/>
  <c r="N18" i="41" s="1"/>
  <c r="D18" i="41"/>
  <c r="O18" i="41" s="1"/>
  <c r="S17" i="41"/>
  <c r="R17" i="41"/>
  <c r="E18" i="40"/>
  <c r="P18" i="40" s="1"/>
  <c r="F18" i="40"/>
  <c r="Q18" i="40" s="1"/>
  <c r="C18" i="43"/>
  <c r="N18" i="43" s="1"/>
  <c r="D18" i="43"/>
  <c r="O18" i="43" s="1"/>
  <c r="R17" i="43"/>
  <c r="S17" i="43"/>
  <c r="T16" i="43"/>
  <c r="D19" i="42"/>
  <c r="O19" i="42" s="1"/>
  <c r="C19" i="42"/>
  <c r="N19" i="42" s="1"/>
  <c r="R18" i="42"/>
  <c r="S18" i="42"/>
  <c r="T17" i="42"/>
  <c r="S17" i="40"/>
  <c r="T16" i="40"/>
  <c r="R17" i="40"/>
  <c r="D18" i="40"/>
  <c r="O18" i="40" s="1"/>
  <c r="C18" i="40"/>
  <c r="N18" i="40" s="1"/>
  <c r="B30" i="43" l="1"/>
  <c r="E29" i="43"/>
  <c r="T20" i="50"/>
  <c r="S21" i="50"/>
  <c r="R21" i="50"/>
  <c r="C22" i="50"/>
  <c r="N22" i="50" s="1"/>
  <c r="F22" i="50"/>
  <c r="Q22" i="50" s="1"/>
  <c r="E22" i="50"/>
  <c r="P22" i="50" s="1"/>
  <c r="D22" i="50"/>
  <c r="O22" i="50" s="1"/>
  <c r="E20" i="42"/>
  <c r="P20" i="42" s="1"/>
  <c r="F20" i="42"/>
  <c r="Q20" i="42" s="1"/>
  <c r="P19" i="43"/>
  <c r="F19" i="43"/>
  <c r="Q19" i="43" s="1"/>
  <c r="T17" i="41"/>
  <c r="T17" i="43"/>
  <c r="F19" i="41"/>
  <c r="Q19" i="41" s="1"/>
  <c r="E19" i="41"/>
  <c r="P19" i="41" s="1"/>
  <c r="C19" i="41"/>
  <c r="N19" i="41" s="1"/>
  <c r="D19" i="41"/>
  <c r="O19" i="41" s="1"/>
  <c r="R18" i="41"/>
  <c r="S18" i="41"/>
  <c r="E19" i="40"/>
  <c r="P19" i="40" s="1"/>
  <c r="F19" i="40"/>
  <c r="Q19" i="40" s="1"/>
  <c r="S18" i="40"/>
  <c r="C19" i="43"/>
  <c r="N19" i="43" s="1"/>
  <c r="D19" i="43"/>
  <c r="O19" i="43" s="1"/>
  <c r="R18" i="43"/>
  <c r="S18" i="43"/>
  <c r="S19" i="42"/>
  <c r="R19" i="42"/>
  <c r="D20" i="42"/>
  <c r="O20" i="42" s="1"/>
  <c r="C20" i="42"/>
  <c r="N20" i="42" s="1"/>
  <c r="T18" i="42"/>
  <c r="T17" i="40"/>
  <c r="R18" i="40"/>
  <c r="D19" i="40"/>
  <c r="O19" i="40" s="1"/>
  <c r="C19" i="40"/>
  <c r="N19" i="40" s="1"/>
  <c r="B31" i="43" l="1"/>
  <c r="E30" i="43"/>
  <c r="F23" i="50"/>
  <c r="Q23" i="50" s="1"/>
  <c r="E23" i="50"/>
  <c r="P23" i="50" s="1"/>
  <c r="D23" i="50"/>
  <c r="O23" i="50" s="1"/>
  <c r="C23" i="50"/>
  <c r="N23" i="50" s="1"/>
  <c r="S22" i="50"/>
  <c r="R22" i="50"/>
  <c r="T21" i="50"/>
  <c r="E21" i="42"/>
  <c r="P21" i="42" s="1"/>
  <c r="F21" i="42"/>
  <c r="Q21" i="42" s="1"/>
  <c r="P20" i="43"/>
  <c r="F20" i="43"/>
  <c r="Q20" i="43" s="1"/>
  <c r="S19" i="40"/>
  <c r="F20" i="41"/>
  <c r="Q20" i="41" s="1"/>
  <c r="E20" i="41"/>
  <c r="P20" i="41" s="1"/>
  <c r="T18" i="41"/>
  <c r="C20" i="41"/>
  <c r="N20" i="41" s="1"/>
  <c r="D20" i="41"/>
  <c r="O20" i="41" s="1"/>
  <c r="R19" i="41"/>
  <c r="S19" i="41"/>
  <c r="E20" i="40"/>
  <c r="P20" i="40" s="1"/>
  <c r="F20" i="40"/>
  <c r="Q20" i="40" s="1"/>
  <c r="T18" i="40"/>
  <c r="D20" i="43"/>
  <c r="O20" i="43" s="1"/>
  <c r="C20" i="43"/>
  <c r="N20" i="43" s="1"/>
  <c r="T18" i="43"/>
  <c r="R19" i="43"/>
  <c r="S19" i="43"/>
  <c r="T19" i="42"/>
  <c r="R20" i="42"/>
  <c r="S20" i="42"/>
  <c r="D21" i="42"/>
  <c r="O21" i="42" s="1"/>
  <c r="C21" i="42"/>
  <c r="N21" i="42" s="1"/>
  <c r="R19" i="40"/>
  <c r="D20" i="40"/>
  <c r="O20" i="40" s="1"/>
  <c r="C20" i="40"/>
  <c r="N20" i="40" s="1"/>
  <c r="B32" i="43" l="1"/>
  <c r="E31" i="43"/>
  <c r="T19" i="40"/>
  <c r="T22" i="50"/>
  <c r="S23" i="50"/>
  <c r="R23" i="50"/>
  <c r="F24" i="50"/>
  <c r="Q24" i="50" s="1"/>
  <c r="E24" i="50"/>
  <c r="P24" i="50" s="1"/>
  <c r="D24" i="50"/>
  <c r="O24" i="50" s="1"/>
  <c r="C24" i="50"/>
  <c r="N24" i="50" s="1"/>
  <c r="E22" i="42"/>
  <c r="P22" i="42" s="1"/>
  <c r="F22" i="42"/>
  <c r="Q22" i="42" s="1"/>
  <c r="P21" i="43"/>
  <c r="F21" i="43"/>
  <c r="Q21" i="43" s="1"/>
  <c r="F21" i="41"/>
  <c r="Q21" i="41" s="1"/>
  <c r="E21" i="41"/>
  <c r="P21" i="41" s="1"/>
  <c r="T19" i="41"/>
  <c r="C21" i="41"/>
  <c r="N21" i="41" s="1"/>
  <c r="D21" i="41"/>
  <c r="O21" i="41" s="1"/>
  <c r="R20" i="41"/>
  <c r="S20" i="41"/>
  <c r="E21" i="40"/>
  <c r="P21" i="40" s="1"/>
  <c r="F21" i="40"/>
  <c r="Q21" i="40" s="1"/>
  <c r="C21" i="43"/>
  <c r="N21" i="43" s="1"/>
  <c r="D21" i="43"/>
  <c r="O21" i="43" s="1"/>
  <c r="S20" i="43"/>
  <c r="R20" i="43"/>
  <c r="T19" i="43"/>
  <c r="T20" i="42"/>
  <c r="S21" i="42"/>
  <c r="R21" i="42"/>
  <c r="C22" i="42"/>
  <c r="N22" i="42" s="1"/>
  <c r="D22" i="42"/>
  <c r="O22" i="42" s="1"/>
  <c r="S20" i="40"/>
  <c r="R20" i="40"/>
  <c r="D21" i="40"/>
  <c r="O21" i="40" s="1"/>
  <c r="C21" i="40"/>
  <c r="N21" i="40" s="1"/>
  <c r="B33" i="43" l="1"/>
  <c r="E32" i="43"/>
  <c r="T23" i="50"/>
  <c r="S24" i="50"/>
  <c r="R24" i="50"/>
  <c r="F25" i="50"/>
  <c r="Q25" i="50" s="1"/>
  <c r="E25" i="50"/>
  <c r="P25" i="50" s="1"/>
  <c r="D25" i="50"/>
  <c r="O25" i="50" s="1"/>
  <c r="C25" i="50"/>
  <c r="N25" i="50" s="1"/>
  <c r="E23" i="42"/>
  <c r="P23" i="42" s="1"/>
  <c r="F23" i="42"/>
  <c r="Q23" i="42" s="1"/>
  <c r="P22" i="43"/>
  <c r="F22" i="43"/>
  <c r="Q22" i="43" s="1"/>
  <c r="T20" i="43"/>
  <c r="E22" i="41"/>
  <c r="P22" i="41" s="1"/>
  <c r="F22" i="41"/>
  <c r="Q22" i="41" s="1"/>
  <c r="T20" i="41"/>
  <c r="C22" i="41"/>
  <c r="N22" i="41" s="1"/>
  <c r="D22" i="41"/>
  <c r="O22" i="41" s="1"/>
  <c r="S21" i="41"/>
  <c r="R21" i="41"/>
  <c r="E22" i="40"/>
  <c r="P22" i="40" s="1"/>
  <c r="F22" i="40"/>
  <c r="Q22" i="40" s="1"/>
  <c r="D22" i="43"/>
  <c r="O22" i="43" s="1"/>
  <c r="C22" i="43"/>
  <c r="N22" i="43" s="1"/>
  <c r="S21" i="43"/>
  <c r="R21" i="43"/>
  <c r="R22" i="42"/>
  <c r="S22" i="42"/>
  <c r="D23" i="42"/>
  <c r="O23" i="42" s="1"/>
  <c r="C23" i="42"/>
  <c r="N23" i="42" s="1"/>
  <c r="T21" i="42"/>
  <c r="T20" i="40"/>
  <c r="S21" i="40"/>
  <c r="R21" i="40"/>
  <c r="D22" i="40"/>
  <c r="O22" i="40" s="1"/>
  <c r="C22" i="40"/>
  <c r="N22" i="40" s="1"/>
  <c r="T21" i="41" l="1"/>
  <c r="B34" i="43"/>
  <c r="E33" i="43"/>
  <c r="T24" i="50"/>
  <c r="R25" i="50"/>
  <c r="S25" i="50"/>
  <c r="F26" i="50"/>
  <c r="Q26" i="50" s="1"/>
  <c r="E26" i="50"/>
  <c r="P26" i="50" s="1"/>
  <c r="D26" i="50"/>
  <c r="O26" i="50" s="1"/>
  <c r="C26" i="50"/>
  <c r="N26" i="50" s="1"/>
  <c r="E24" i="42"/>
  <c r="P24" i="42" s="1"/>
  <c r="F24" i="42"/>
  <c r="Q24" i="42" s="1"/>
  <c r="P23" i="43"/>
  <c r="F23" i="43"/>
  <c r="Q23" i="43" s="1"/>
  <c r="E23" i="41"/>
  <c r="P23" i="41" s="1"/>
  <c r="F23" i="41"/>
  <c r="Q23" i="41" s="1"/>
  <c r="C23" i="41"/>
  <c r="N23" i="41" s="1"/>
  <c r="D23" i="41"/>
  <c r="O23" i="41" s="1"/>
  <c r="S22" i="41"/>
  <c r="R22" i="41"/>
  <c r="T21" i="40"/>
  <c r="E23" i="40"/>
  <c r="P23" i="40" s="1"/>
  <c r="F23" i="40"/>
  <c r="Q23" i="40" s="1"/>
  <c r="S22" i="43"/>
  <c r="R22" i="43"/>
  <c r="T21" i="43"/>
  <c r="D23" i="43"/>
  <c r="O23" i="43" s="1"/>
  <c r="C23" i="43"/>
  <c r="N23" i="43" s="1"/>
  <c r="T22" i="42"/>
  <c r="S23" i="42"/>
  <c r="R23" i="42"/>
  <c r="C24" i="42"/>
  <c r="N24" i="42" s="1"/>
  <c r="D24" i="42"/>
  <c r="O24" i="42" s="1"/>
  <c r="S22" i="40"/>
  <c r="R22" i="40"/>
  <c r="D23" i="40"/>
  <c r="O23" i="40" s="1"/>
  <c r="C23" i="40"/>
  <c r="N23" i="40" s="1"/>
  <c r="S23" i="40" l="1"/>
  <c r="B35" i="43"/>
  <c r="E34" i="43"/>
  <c r="T25" i="50"/>
  <c r="S26" i="50"/>
  <c r="R26" i="50"/>
  <c r="D27" i="50"/>
  <c r="O27" i="50" s="1"/>
  <c r="C27" i="50"/>
  <c r="N27" i="50" s="1"/>
  <c r="F27" i="50"/>
  <c r="Q27" i="50" s="1"/>
  <c r="E27" i="50"/>
  <c r="P27" i="50" s="1"/>
  <c r="E25" i="42"/>
  <c r="P25" i="42" s="1"/>
  <c r="F25" i="42"/>
  <c r="Q25" i="42" s="1"/>
  <c r="P24" i="43"/>
  <c r="F24" i="43"/>
  <c r="Q24" i="43" s="1"/>
  <c r="T22" i="43"/>
  <c r="F24" i="41"/>
  <c r="Q24" i="41" s="1"/>
  <c r="E24" i="41"/>
  <c r="P24" i="41" s="1"/>
  <c r="T22" i="41"/>
  <c r="C24" i="41"/>
  <c r="N24" i="41" s="1"/>
  <c r="D24" i="41"/>
  <c r="O24" i="41" s="1"/>
  <c r="S23" i="41"/>
  <c r="R23" i="41"/>
  <c r="E24" i="40"/>
  <c r="P24" i="40" s="1"/>
  <c r="F24" i="40"/>
  <c r="Q24" i="40" s="1"/>
  <c r="T23" i="42"/>
  <c r="T22" i="40"/>
  <c r="R23" i="43"/>
  <c r="S23" i="43"/>
  <c r="C24" i="43"/>
  <c r="N24" i="43" s="1"/>
  <c r="D24" i="43"/>
  <c r="O24" i="43" s="1"/>
  <c r="R24" i="42"/>
  <c r="S24" i="42"/>
  <c r="D25" i="42"/>
  <c r="O25" i="42" s="1"/>
  <c r="C25" i="42"/>
  <c r="N25" i="42" s="1"/>
  <c r="R23" i="40"/>
  <c r="D24" i="40"/>
  <c r="O24" i="40" s="1"/>
  <c r="C24" i="40"/>
  <c r="N24" i="40" s="1"/>
  <c r="T23" i="40" l="1"/>
  <c r="B36" i="43"/>
  <c r="E35" i="43"/>
  <c r="T26" i="50"/>
  <c r="F28" i="50"/>
  <c r="Q28" i="50" s="1"/>
  <c r="D28" i="50"/>
  <c r="O28" i="50" s="1"/>
  <c r="C28" i="50"/>
  <c r="N28" i="50" s="1"/>
  <c r="E28" i="50"/>
  <c r="P28" i="50" s="1"/>
  <c r="S27" i="50"/>
  <c r="R27" i="50"/>
  <c r="E26" i="42"/>
  <c r="P26" i="42" s="1"/>
  <c r="F26" i="42"/>
  <c r="Q26" i="42" s="1"/>
  <c r="P25" i="43"/>
  <c r="F25" i="43"/>
  <c r="Q25" i="43" s="1"/>
  <c r="F25" i="41"/>
  <c r="Q25" i="41" s="1"/>
  <c r="E25" i="41"/>
  <c r="P25" i="41" s="1"/>
  <c r="T23" i="41"/>
  <c r="C25" i="41"/>
  <c r="N25" i="41" s="1"/>
  <c r="D25" i="41"/>
  <c r="O25" i="41" s="1"/>
  <c r="R24" i="41"/>
  <c r="S24" i="41"/>
  <c r="E25" i="40"/>
  <c r="P25" i="40" s="1"/>
  <c r="F25" i="40"/>
  <c r="Q25" i="40" s="1"/>
  <c r="S24" i="40"/>
  <c r="S24" i="43"/>
  <c r="R24" i="43"/>
  <c r="C25" i="43"/>
  <c r="N25" i="43" s="1"/>
  <c r="D25" i="43"/>
  <c r="O25" i="43" s="1"/>
  <c r="T23" i="43"/>
  <c r="T24" i="42"/>
  <c r="D26" i="42"/>
  <c r="O26" i="42" s="1"/>
  <c r="C26" i="42"/>
  <c r="N26" i="42" s="1"/>
  <c r="R25" i="42"/>
  <c r="S25" i="42"/>
  <c r="R24" i="40"/>
  <c r="D25" i="40"/>
  <c r="O25" i="40" s="1"/>
  <c r="C25" i="40"/>
  <c r="N25" i="40" s="1"/>
  <c r="T24" i="40" l="1"/>
  <c r="B37" i="43"/>
  <c r="E36" i="43"/>
  <c r="T27" i="50"/>
  <c r="S28" i="50"/>
  <c r="R28" i="50"/>
  <c r="E29" i="50"/>
  <c r="P29" i="50" s="1"/>
  <c r="D29" i="50"/>
  <c r="O29" i="50" s="1"/>
  <c r="C29" i="50"/>
  <c r="N29" i="50" s="1"/>
  <c r="F29" i="50"/>
  <c r="Q29" i="50" s="1"/>
  <c r="E27" i="42"/>
  <c r="P27" i="42" s="1"/>
  <c r="F27" i="42"/>
  <c r="Q27" i="42" s="1"/>
  <c r="F26" i="43"/>
  <c r="Q26" i="43" s="1"/>
  <c r="P26" i="43"/>
  <c r="T24" i="43"/>
  <c r="E26" i="41"/>
  <c r="P26" i="41" s="1"/>
  <c r="F26" i="41"/>
  <c r="Q26" i="41" s="1"/>
  <c r="T24" i="41"/>
  <c r="C26" i="41"/>
  <c r="N26" i="41" s="1"/>
  <c r="D26" i="41"/>
  <c r="O26" i="41" s="1"/>
  <c r="R25" i="41"/>
  <c r="S25" i="41"/>
  <c r="E26" i="40"/>
  <c r="P26" i="40" s="1"/>
  <c r="F26" i="40"/>
  <c r="Q26" i="40" s="1"/>
  <c r="D26" i="43"/>
  <c r="O26" i="43" s="1"/>
  <c r="C26" i="43"/>
  <c r="N26" i="43" s="1"/>
  <c r="R25" i="43"/>
  <c r="S25" i="43"/>
  <c r="T25" i="42"/>
  <c r="R26" i="42"/>
  <c r="S26" i="42"/>
  <c r="D27" i="42"/>
  <c r="O27" i="42" s="1"/>
  <c r="C27" i="42"/>
  <c r="N27" i="42" s="1"/>
  <c r="R25" i="40"/>
  <c r="S25" i="40"/>
  <c r="D26" i="40"/>
  <c r="O26" i="40" s="1"/>
  <c r="C26" i="40"/>
  <c r="N26" i="40" s="1"/>
  <c r="B38" i="43" l="1"/>
  <c r="E37" i="43"/>
  <c r="T28" i="50"/>
  <c r="S29" i="50"/>
  <c r="R29" i="50"/>
  <c r="F30" i="50"/>
  <c r="Q30" i="50" s="1"/>
  <c r="E30" i="50"/>
  <c r="P30" i="50" s="1"/>
  <c r="D30" i="50"/>
  <c r="O30" i="50" s="1"/>
  <c r="C30" i="50"/>
  <c r="N30" i="50" s="1"/>
  <c r="E28" i="42"/>
  <c r="P28" i="42" s="1"/>
  <c r="F28" i="42"/>
  <c r="Q28" i="42" s="1"/>
  <c r="F27" i="43"/>
  <c r="Q27" i="43" s="1"/>
  <c r="P27" i="43"/>
  <c r="E27" i="41"/>
  <c r="P27" i="41" s="1"/>
  <c r="F27" i="41"/>
  <c r="Q27" i="41" s="1"/>
  <c r="T25" i="41"/>
  <c r="C27" i="41"/>
  <c r="N27" i="41" s="1"/>
  <c r="D27" i="41"/>
  <c r="O27" i="41" s="1"/>
  <c r="S26" i="41"/>
  <c r="R26" i="41"/>
  <c r="E27" i="40"/>
  <c r="P27" i="40" s="1"/>
  <c r="F27" i="40"/>
  <c r="Q27" i="40" s="1"/>
  <c r="S26" i="40"/>
  <c r="T25" i="43"/>
  <c r="R26" i="43"/>
  <c r="S26" i="43"/>
  <c r="C27" i="43"/>
  <c r="N27" i="43" s="1"/>
  <c r="D27" i="43"/>
  <c r="O27" i="43" s="1"/>
  <c r="T26" i="42"/>
  <c r="R27" i="42"/>
  <c r="S27" i="42"/>
  <c r="D28" i="42"/>
  <c r="O28" i="42" s="1"/>
  <c r="C28" i="42"/>
  <c r="N28" i="42" s="1"/>
  <c r="T25" i="40"/>
  <c r="R26" i="40"/>
  <c r="D27" i="40"/>
  <c r="O27" i="40" s="1"/>
  <c r="C27" i="40"/>
  <c r="N27" i="40" s="1"/>
  <c r="B39" i="43" l="1"/>
  <c r="E38" i="43"/>
  <c r="C31" i="50"/>
  <c r="N31" i="50" s="1"/>
  <c r="F31" i="50"/>
  <c r="Q31" i="50" s="1"/>
  <c r="E31" i="50"/>
  <c r="P31" i="50" s="1"/>
  <c r="D31" i="50"/>
  <c r="O31" i="50" s="1"/>
  <c r="S30" i="50"/>
  <c r="R30" i="50"/>
  <c r="T29" i="50"/>
  <c r="E29" i="42"/>
  <c r="P29" i="42" s="1"/>
  <c r="F29" i="42"/>
  <c r="Q29" i="42" s="1"/>
  <c r="F28" i="43"/>
  <c r="Q28" i="43" s="1"/>
  <c r="P28" i="43"/>
  <c r="T26" i="40"/>
  <c r="F28" i="41"/>
  <c r="Q28" i="41" s="1"/>
  <c r="E28" i="41"/>
  <c r="P28" i="41" s="1"/>
  <c r="C28" i="41"/>
  <c r="N28" i="41" s="1"/>
  <c r="D28" i="41"/>
  <c r="O28" i="41" s="1"/>
  <c r="T26" i="41"/>
  <c r="S27" i="41"/>
  <c r="R27" i="41"/>
  <c r="E28" i="40"/>
  <c r="P28" i="40" s="1"/>
  <c r="F28" i="40"/>
  <c r="Q28" i="40" s="1"/>
  <c r="D28" i="43"/>
  <c r="O28" i="43" s="1"/>
  <c r="C28" i="43"/>
  <c r="N28" i="43" s="1"/>
  <c r="T26" i="43"/>
  <c r="R27" i="43"/>
  <c r="S27" i="43"/>
  <c r="T27" i="42"/>
  <c r="R28" i="42"/>
  <c r="S28" i="42"/>
  <c r="D29" i="42"/>
  <c r="O29" i="42" s="1"/>
  <c r="C29" i="42"/>
  <c r="N29" i="42" s="1"/>
  <c r="S27" i="40"/>
  <c r="R27" i="40"/>
  <c r="D28" i="40"/>
  <c r="O28" i="40" s="1"/>
  <c r="C28" i="40"/>
  <c r="N28" i="40" s="1"/>
  <c r="B40" i="43" l="1"/>
  <c r="E39" i="43"/>
  <c r="T30" i="50"/>
  <c r="S31" i="50"/>
  <c r="R31" i="50"/>
  <c r="E32" i="50"/>
  <c r="P32" i="50" s="1"/>
  <c r="D32" i="50"/>
  <c r="O32" i="50" s="1"/>
  <c r="C32" i="50"/>
  <c r="N32" i="50" s="1"/>
  <c r="F32" i="50"/>
  <c r="Q32" i="50" s="1"/>
  <c r="E30" i="42"/>
  <c r="P30" i="42" s="1"/>
  <c r="F30" i="42"/>
  <c r="Q30" i="42" s="1"/>
  <c r="P29" i="43"/>
  <c r="F29" i="43"/>
  <c r="Q29" i="43" s="1"/>
  <c r="T27" i="41"/>
  <c r="F29" i="41"/>
  <c r="Q29" i="41" s="1"/>
  <c r="E29" i="41"/>
  <c r="P29" i="41" s="1"/>
  <c r="D29" i="41"/>
  <c r="O29" i="41" s="1"/>
  <c r="C29" i="41"/>
  <c r="N29" i="41" s="1"/>
  <c r="S28" i="41"/>
  <c r="R28" i="41"/>
  <c r="E29" i="40"/>
  <c r="P29" i="40" s="1"/>
  <c r="F29" i="40"/>
  <c r="Q29" i="40" s="1"/>
  <c r="S28" i="40"/>
  <c r="T27" i="43"/>
  <c r="D29" i="43"/>
  <c r="O29" i="43" s="1"/>
  <c r="C29" i="43"/>
  <c r="N29" i="43" s="1"/>
  <c r="R28" i="43"/>
  <c r="S28" i="43"/>
  <c r="T28" i="42"/>
  <c r="S29" i="42"/>
  <c r="R29" i="42"/>
  <c r="C30" i="42"/>
  <c r="N30" i="42" s="1"/>
  <c r="D30" i="42"/>
  <c r="O30" i="42" s="1"/>
  <c r="T27" i="40"/>
  <c r="R28" i="40"/>
  <c r="D29" i="40"/>
  <c r="O29" i="40" s="1"/>
  <c r="C29" i="40"/>
  <c r="N29" i="40" s="1"/>
  <c r="B41" i="43" l="1"/>
  <c r="E40" i="43"/>
  <c r="F33" i="50"/>
  <c r="Q33" i="50" s="1"/>
  <c r="E33" i="50"/>
  <c r="P33" i="50" s="1"/>
  <c r="D33" i="50"/>
  <c r="O33" i="50" s="1"/>
  <c r="C33" i="50"/>
  <c r="N33" i="50" s="1"/>
  <c r="S32" i="50"/>
  <c r="R32" i="50"/>
  <c r="T31" i="50"/>
  <c r="E31" i="42"/>
  <c r="P31" i="42" s="1"/>
  <c r="F31" i="42"/>
  <c r="Q31" i="42" s="1"/>
  <c r="P30" i="43"/>
  <c r="F30" i="43"/>
  <c r="Q30" i="43" s="1"/>
  <c r="S29" i="40"/>
  <c r="T28" i="40"/>
  <c r="F30" i="41"/>
  <c r="Q30" i="41" s="1"/>
  <c r="E30" i="41"/>
  <c r="P30" i="41" s="1"/>
  <c r="T28" i="41"/>
  <c r="C30" i="41"/>
  <c r="N30" i="41" s="1"/>
  <c r="D30" i="41"/>
  <c r="O30" i="41" s="1"/>
  <c r="S29" i="41"/>
  <c r="R29" i="41"/>
  <c r="E30" i="40"/>
  <c r="P30" i="40" s="1"/>
  <c r="F30" i="40"/>
  <c r="Q30" i="40" s="1"/>
  <c r="T28" i="43"/>
  <c r="S29" i="43"/>
  <c r="R29" i="43"/>
  <c r="C30" i="43"/>
  <c r="N30" i="43" s="1"/>
  <c r="D30" i="43"/>
  <c r="O30" i="43" s="1"/>
  <c r="T29" i="42"/>
  <c r="R30" i="42"/>
  <c r="S30" i="42"/>
  <c r="D31" i="42"/>
  <c r="O31" i="42" s="1"/>
  <c r="C31" i="42"/>
  <c r="N31" i="42" s="1"/>
  <c r="R29" i="40"/>
  <c r="D30" i="40"/>
  <c r="O30" i="40" s="1"/>
  <c r="C30" i="40"/>
  <c r="N30" i="40" s="1"/>
  <c r="T29" i="40" l="1"/>
  <c r="B42" i="43"/>
  <c r="E41" i="43"/>
  <c r="T32" i="50"/>
  <c r="S33" i="50"/>
  <c r="R33" i="50"/>
  <c r="C34" i="50"/>
  <c r="N34" i="50" s="1"/>
  <c r="F34" i="50"/>
  <c r="Q34" i="50" s="1"/>
  <c r="E34" i="50"/>
  <c r="P34" i="50" s="1"/>
  <c r="D34" i="50"/>
  <c r="O34" i="50" s="1"/>
  <c r="E32" i="42"/>
  <c r="P32" i="42" s="1"/>
  <c r="F32" i="42"/>
  <c r="Q32" i="42" s="1"/>
  <c r="P31" i="43"/>
  <c r="F31" i="43"/>
  <c r="Q31" i="43" s="1"/>
  <c r="T29" i="43"/>
  <c r="F31" i="41"/>
  <c r="Q31" i="41" s="1"/>
  <c r="E31" i="41"/>
  <c r="P31" i="41" s="1"/>
  <c r="T29" i="41"/>
  <c r="C31" i="41"/>
  <c r="N31" i="41" s="1"/>
  <c r="D31" i="41"/>
  <c r="O31" i="41" s="1"/>
  <c r="S30" i="41"/>
  <c r="R30" i="41"/>
  <c r="E31" i="40"/>
  <c r="P31" i="40" s="1"/>
  <c r="F31" i="40"/>
  <c r="Q31" i="40" s="1"/>
  <c r="R30" i="43"/>
  <c r="S30" i="43"/>
  <c r="D31" i="43"/>
  <c r="O31" i="43" s="1"/>
  <c r="C31" i="43"/>
  <c r="N31" i="43" s="1"/>
  <c r="S31" i="42"/>
  <c r="R31" i="42"/>
  <c r="T31" i="42" s="1"/>
  <c r="C32" i="42"/>
  <c r="N32" i="42" s="1"/>
  <c r="D32" i="42"/>
  <c r="O32" i="42" s="1"/>
  <c r="T30" i="42"/>
  <c r="S30" i="40"/>
  <c r="R30" i="40"/>
  <c r="D31" i="40"/>
  <c r="O31" i="40" s="1"/>
  <c r="C31" i="40"/>
  <c r="N31" i="40" s="1"/>
  <c r="B43" i="43" l="1"/>
  <c r="E42" i="43"/>
  <c r="F35" i="50"/>
  <c r="Q35" i="50" s="1"/>
  <c r="E35" i="50"/>
  <c r="P35" i="50" s="1"/>
  <c r="D35" i="50"/>
  <c r="O35" i="50" s="1"/>
  <c r="C35" i="50"/>
  <c r="N35" i="50" s="1"/>
  <c r="S34" i="50"/>
  <c r="R34" i="50"/>
  <c r="T33" i="50"/>
  <c r="E33" i="42"/>
  <c r="P33" i="42" s="1"/>
  <c r="F33" i="42"/>
  <c r="Q33" i="42" s="1"/>
  <c r="P32" i="43"/>
  <c r="F32" i="43"/>
  <c r="Q32" i="43" s="1"/>
  <c r="F32" i="41"/>
  <c r="Q32" i="41" s="1"/>
  <c r="E32" i="41"/>
  <c r="P32" i="41" s="1"/>
  <c r="T30" i="41"/>
  <c r="D32" i="41"/>
  <c r="O32" i="41" s="1"/>
  <c r="C32" i="41"/>
  <c r="N32" i="41" s="1"/>
  <c r="R31" i="41"/>
  <c r="S31" i="41"/>
  <c r="E32" i="40"/>
  <c r="P32" i="40" s="1"/>
  <c r="F32" i="40"/>
  <c r="Q32" i="40" s="1"/>
  <c r="T30" i="40"/>
  <c r="S31" i="43"/>
  <c r="R31" i="43"/>
  <c r="D32" i="43"/>
  <c r="O32" i="43" s="1"/>
  <c r="C32" i="43"/>
  <c r="N32" i="43" s="1"/>
  <c r="T30" i="43"/>
  <c r="R32" i="42"/>
  <c r="S32" i="42"/>
  <c r="D33" i="42"/>
  <c r="O33" i="42" s="1"/>
  <c r="C33" i="42"/>
  <c r="N33" i="42" s="1"/>
  <c r="R31" i="40"/>
  <c r="S31" i="40"/>
  <c r="C32" i="40"/>
  <c r="N32" i="40" s="1"/>
  <c r="D32" i="40"/>
  <c r="O32" i="40" s="1"/>
  <c r="B44" i="43" l="1"/>
  <c r="E43" i="43"/>
  <c r="T34" i="50"/>
  <c r="R35" i="50"/>
  <c r="S35" i="50"/>
  <c r="D36" i="50"/>
  <c r="O36" i="50" s="1"/>
  <c r="C36" i="50"/>
  <c r="N36" i="50" s="1"/>
  <c r="F36" i="50"/>
  <c r="Q36" i="50" s="1"/>
  <c r="E36" i="50"/>
  <c r="P36" i="50" s="1"/>
  <c r="E34" i="42"/>
  <c r="P34" i="42" s="1"/>
  <c r="F34" i="42"/>
  <c r="Q34" i="42" s="1"/>
  <c r="P33" i="43"/>
  <c r="F33" i="43"/>
  <c r="Q33" i="43" s="1"/>
  <c r="T31" i="43"/>
  <c r="F33" i="41"/>
  <c r="Q33" i="41" s="1"/>
  <c r="E33" i="41"/>
  <c r="P33" i="41" s="1"/>
  <c r="T31" i="41"/>
  <c r="D33" i="41"/>
  <c r="O33" i="41" s="1"/>
  <c r="C33" i="41"/>
  <c r="N33" i="41" s="1"/>
  <c r="R32" i="41"/>
  <c r="S32" i="41"/>
  <c r="E33" i="40"/>
  <c r="P33" i="40" s="1"/>
  <c r="F33" i="40"/>
  <c r="Q33" i="40" s="1"/>
  <c r="D33" i="43"/>
  <c r="O33" i="43" s="1"/>
  <c r="C33" i="43"/>
  <c r="N33" i="43" s="1"/>
  <c r="R32" i="43"/>
  <c r="S32" i="43"/>
  <c r="R33" i="42"/>
  <c r="S33" i="42"/>
  <c r="D34" i="42"/>
  <c r="O34" i="42" s="1"/>
  <c r="C34" i="42"/>
  <c r="N34" i="42" s="1"/>
  <c r="T32" i="42"/>
  <c r="T31" i="40"/>
  <c r="R32" i="40"/>
  <c r="S32" i="40"/>
  <c r="D33" i="40"/>
  <c r="O33" i="40" s="1"/>
  <c r="C33" i="40"/>
  <c r="N33" i="40" s="1"/>
  <c r="B45" i="43" l="1"/>
  <c r="E44" i="43"/>
  <c r="T35" i="50"/>
  <c r="F37" i="50"/>
  <c r="Q37" i="50" s="1"/>
  <c r="E37" i="50"/>
  <c r="P37" i="50" s="1"/>
  <c r="D37" i="50"/>
  <c r="O37" i="50" s="1"/>
  <c r="C37" i="50"/>
  <c r="N37" i="50" s="1"/>
  <c r="S36" i="50"/>
  <c r="R36" i="50"/>
  <c r="E35" i="42"/>
  <c r="P35" i="42" s="1"/>
  <c r="F35" i="42"/>
  <c r="Q35" i="42" s="1"/>
  <c r="P34" i="43"/>
  <c r="F34" i="43"/>
  <c r="Q34" i="43" s="1"/>
  <c r="F34" i="41"/>
  <c r="Q34" i="41" s="1"/>
  <c r="E34" i="41"/>
  <c r="P34" i="41" s="1"/>
  <c r="T32" i="41"/>
  <c r="C34" i="41"/>
  <c r="N34" i="41" s="1"/>
  <c r="D34" i="41"/>
  <c r="O34" i="41" s="1"/>
  <c r="S33" i="41"/>
  <c r="R33" i="41"/>
  <c r="E34" i="40"/>
  <c r="P34" i="40" s="1"/>
  <c r="F34" i="40"/>
  <c r="Q34" i="40" s="1"/>
  <c r="T32" i="43"/>
  <c r="D34" i="43"/>
  <c r="O34" i="43" s="1"/>
  <c r="C34" i="43"/>
  <c r="N34" i="43" s="1"/>
  <c r="R33" i="43"/>
  <c r="S33" i="43"/>
  <c r="T33" i="42"/>
  <c r="R34" i="42"/>
  <c r="S34" i="42"/>
  <c r="D35" i="42"/>
  <c r="O35" i="42" s="1"/>
  <c r="C35" i="42"/>
  <c r="N35" i="42" s="1"/>
  <c r="S33" i="40"/>
  <c r="T32" i="40"/>
  <c r="R33" i="40"/>
  <c r="C34" i="40"/>
  <c r="N34" i="40" s="1"/>
  <c r="D34" i="40"/>
  <c r="O34" i="40" s="1"/>
  <c r="B46" i="43" l="1"/>
  <c r="E45" i="43"/>
  <c r="T36" i="50"/>
  <c r="E38" i="50"/>
  <c r="P38" i="50" s="1"/>
  <c r="F38" i="50"/>
  <c r="Q38" i="50" s="1"/>
  <c r="D38" i="50"/>
  <c r="O38" i="50" s="1"/>
  <c r="C38" i="50"/>
  <c r="N38" i="50" s="1"/>
  <c r="S37" i="50"/>
  <c r="R37" i="50"/>
  <c r="E36" i="42"/>
  <c r="P36" i="42" s="1"/>
  <c r="F36" i="42"/>
  <c r="Q36" i="42" s="1"/>
  <c r="P35" i="43"/>
  <c r="F35" i="43"/>
  <c r="Q35" i="43" s="1"/>
  <c r="F35" i="41"/>
  <c r="Q35" i="41" s="1"/>
  <c r="E35" i="41"/>
  <c r="P35" i="41" s="1"/>
  <c r="T33" i="41"/>
  <c r="C35" i="41"/>
  <c r="N35" i="41" s="1"/>
  <c r="D35" i="41"/>
  <c r="O35" i="41" s="1"/>
  <c r="R34" i="41"/>
  <c r="S34" i="41"/>
  <c r="E35" i="40"/>
  <c r="P35" i="40" s="1"/>
  <c r="F35" i="40"/>
  <c r="Q35" i="40" s="1"/>
  <c r="T33" i="40"/>
  <c r="C35" i="43"/>
  <c r="N35" i="43" s="1"/>
  <c r="D35" i="43"/>
  <c r="O35" i="43" s="1"/>
  <c r="T33" i="43"/>
  <c r="R34" i="43"/>
  <c r="S34" i="43"/>
  <c r="T34" i="42"/>
  <c r="S35" i="42"/>
  <c r="R35" i="42"/>
  <c r="D36" i="42"/>
  <c r="O36" i="42" s="1"/>
  <c r="C36" i="42"/>
  <c r="N36" i="42" s="1"/>
  <c r="S34" i="40"/>
  <c r="R34" i="40"/>
  <c r="D35" i="40"/>
  <c r="O35" i="40" s="1"/>
  <c r="C35" i="40"/>
  <c r="N35" i="40" s="1"/>
  <c r="B47" i="43" l="1"/>
  <c r="E46" i="43"/>
  <c r="T37" i="50"/>
  <c r="C39" i="50"/>
  <c r="N39" i="50" s="1"/>
  <c r="F39" i="50"/>
  <c r="Q39" i="50" s="1"/>
  <c r="E39" i="50"/>
  <c r="P39" i="50" s="1"/>
  <c r="D39" i="50"/>
  <c r="O39" i="50" s="1"/>
  <c r="S38" i="50"/>
  <c r="R38" i="50"/>
  <c r="E37" i="42"/>
  <c r="P37" i="42" s="1"/>
  <c r="F37" i="42"/>
  <c r="Q37" i="42" s="1"/>
  <c r="P36" i="43"/>
  <c r="F36" i="43"/>
  <c r="Q36" i="43" s="1"/>
  <c r="T34" i="40"/>
  <c r="F36" i="41"/>
  <c r="Q36" i="41" s="1"/>
  <c r="E36" i="41"/>
  <c r="P36" i="41" s="1"/>
  <c r="T34" i="41"/>
  <c r="C36" i="41"/>
  <c r="N36" i="41" s="1"/>
  <c r="D36" i="41"/>
  <c r="O36" i="41" s="1"/>
  <c r="S35" i="41"/>
  <c r="R35" i="41"/>
  <c r="E36" i="40"/>
  <c r="P36" i="40" s="1"/>
  <c r="F36" i="40"/>
  <c r="Q36" i="40" s="1"/>
  <c r="S35" i="40"/>
  <c r="T35" i="42"/>
  <c r="D36" i="43"/>
  <c r="O36" i="43" s="1"/>
  <c r="C36" i="43"/>
  <c r="N36" i="43" s="1"/>
  <c r="T34" i="43"/>
  <c r="R35" i="43"/>
  <c r="S35" i="43"/>
  <c r="R36" i="42"/>
  <c r="S36" i="42"/>
  <c r="D37" i="42"/>
  <c r="O37" i="42" s="1"/>
  <c r="C37" i="42"/>
  <c r="N37" i="42" s="1"/>
  <c r="R35" i="40"/>
  <c r="D36" i="40"/>
  <c r="O36" i="40" s="1"/>
  <c r="C36" i="40"/>
  <c r="N36" i="40" s="1"/>
  <c r="B48" i="43" l="1"/>
  <c r="E47" i="43"/>
  <c r="T38" i="50"/>
  <c r="C40" i="50"/>
  <c r="N40" i="50" s="1"/>
  <c r="F40" i="50"/>
  <c r="Q40" i="50" s="1"/>
  <c r="E40" i="50"/>
  <c r="P40" i="50" s="1"/>
  <c r="D40" i="50"/>
  <c r="O40" i="50" s="1"/>
  <c r="S39" i="50"/>
  <c r="R39" i="50"/>
  <c r="E38" i="42"/>
  <c r="P38" i="42" s="1"/>
  <c r="F38" i="42"/>
  <c r="Q38" i="42" s="1"/>
  <c r="P37" i="43"/>
  <c r="F37" i="43"/>
  <c r="Q37" i="43" s="1"/>
  <c r="T35" i="40"/>
  <c r="F37" i="41"/>
  <c r="Q37" i="41" s="1"/>
  <c r="E37" i="41"/>
  <c r="P37" i="41" s="1"/>
  <c r="T35" i="41"/>
  <c r="D37" i="41"/>
  <c r="O37" i="41" s="1"/>
  <c r="C37" i="41"/>
  <c r="N37" i="41" s="1"/>
  <c r="R36" i="41"/>
  <c r="S36" i="41"/>
  <c r="E37" i="40"/>
  <c r="P37" i="40" s="1"/>
  <c r="F37" i="40"/>
  <c r="Q37" i="40" s="1"/>
  <c r="T35" i="43"/>
  <c r="S36" i="43"/>
  <c r="R36" i="43"/>
  <c r="D37" i="43"/>
  <c r="O37" i="43" s="1"/>
  <c r="C37" i="43"/>
  <c r="N37" i="43" s="1"/>
  <c r="R37" i="42"/>
  <c r="S37" i="42"/>
  <c r="C38" i="42"/>
  <c r="N38" i="42" s="1"/>
  <c r="D38" i="42"/>
  <c r="O38" i="42" s="1"/>
  <c r="T36" i="42"/>
  <c r="S36" i="40"/>
  <c r="R36" i="40"/>
  <c r="D37" i="40"/>
  <c r="O37" i="40" s="1"/>
  <c r="C37" i="40"/>
  <c r="N37" i="40" s="1"/>
  <c r="B49" i="43" l="1"/>
  <c r="E48" i="43"/>
  <c r="T39" i="50"/>
  <c r="E41" i="50"/>
  <c r="P41" i="50" s="1"/>
  <c r="D41" i="50"/>
  <c r="O41" i="50" s="1"/>
  <c r="C41" i="50"/>
  <c r="N41" i="50" s="1"/>
  <c r="F41" i="50"/>
  <c r="Q41" i="50" s="1"/>
  <c r="S40" i="50"/>
  <c r="R40" i="50"/>
  <c r="E39" i="42"/>
  <c r="P39" i="42" s="1"/>
  <c r="F39" i="42"/>
  <c r="Q39" i="42" s="1"/>
  <c r="P38" i="43"/>
  <c r="F38" i="43"/>
  <c r="Q38" i="43" s="1"/>
  <c r="T36" i="43"/>
  <c r="F38" i="41"/>
  <c r="Q38" i="41" s="1"/>
  <c r="E38" i="41"/>
  <c r="P38" i="41" s="1"/>
  <c r="D38" i="41"/>
  <c r="O38" i="41" s="1"/>
  <c r="C38" i="41"/>
  <c r="N38" i="41" s="1"/>
  <c r="T36" i="41"/>
  <c r="S37" i="41"/>
  <c r="R37" i="41"/>
  <c r="E38" i="40"/>
  <c r="P38" i="40" s="1"/>
  <c r="F38" i="40"/>
  <c r="Q38" i="40" s="1"/>
  <c r="T36" i="40"/>
  <c r="R37" i="43"/>
  <c r="S37" i="43"/>
  <c r="D38" i="43"/>
  <c r="O38" i="43" s="1"/>
  <c r="C38" i="43"/>
  <c r="N38" i="43" s="1"/>
  <c r="C39" i="42"/>
  <c r="N39" i="42" s="1"/>
  <c r="D39" i="42"/>
  <c r="O39" i="42" s="1"/>
  <c r="S38" i="42"/>
  <c r="R38" i="42"/>
  <c r="T37" i="42"/>
  <c r="R37" i="40"/>
  <c r="S37" i="40"/>
  <c r="D38" i="40"/>
  <c r="O38" i="40" s="1"/>
  <c r="C38" i="40"/>
  <c r="N38" i="40" s="1"/>
  <c r="B50" i="43" l="1"/>
  <c r="E49" i="43"/>
  <c r="T40" i="50"/>
  <c r="F42" i="50"/>
  <c r="Q42" i="50" s="1"/>
  <c r="E42" i="50"/>
  <c r="P42" i="50" s="1"/>
  <c r="D42" i="50"/>
  <c r="O42" i="50" s="1"/>
  <c r="C42" i="50"/>
  <c r="N42" i="50" s="1"/>
  <c r="S41" i="50"/>
  <c r="R41" i="50"/>
  <c r="E40" i="42"/>
  <c r="P40" i="42" s="1"/>
  <c r="F40" i="42"/>
  <c r="Q40" i="42" s="1"/>
  <c r="F39" i="43"/>
  <c r="Q39" i="43" s="1"/>
  <c r="P39" i="43"/>
  <c r="T37" i="41"/>
  <c r="T38" i="42"/>
  <c r="E39" i="41"/>
  <c r="P39" i="41" s="1"/>
  <c r="F39" i="41"/>
  <c r="Q39" i="41" s="1"/>
  <c r="C39" i="41"/>
  <c r="N39" i="41" s="1"/>
  <c r="D39" i="41"/>
  <c r="O39" i="41" s="1"/>
  <c r="R38" i="41"/>
  <c r="S38" i="41"/>
  <c r="E39" i="40"/>
  <c r="P39" i="40" s="1"/>
  <c r="F39" i="40"/>
  <c r="Q39" i="40" s="1"/>
  <c r="S38" i="43"/>
  <c r="R38" i="43"/>
  <c r="D39" i="43"/>
  <c r="O39" i="43" s="1"/>
  <c r="C39" i="43"/>
  <c r="N39" i="43" s="1"/>
  <c r="T37" i="43"/>
  <c r="C40" i="42"/>
  <c r="N40" i="42" s="1"/>
  <c r="D40" i="42"/>
  <c r="O40" i="42" s="1"/>
  <c r="R39" i="42"/>
  <c r="S39" i="42"/>
  <c r="T37" i="40"/>
  <c r="R38" i="40"/>
  <c r="S38" i="40"/>
  <c r="D39" i="40"/>
  <c r="O39" i="40" s="1"/>
  <c r="C39" i="40"/>
  <c r="N39" i="40" s="1"/>
  <c r="B51" i="43" l="1"/>
  <c r="E50" i="43"/>
  <c r="T41" i="50"/>
  <c r="S42" i="50"/>
  <c r="R42" i="50"/>
  <c r="F43" i="50"/>
  <c r="Q43" i="50" s="1"/>
  <c r="E43" i="50"/>
  <c r="P43" i="50" s="1"/>
  <c r="D43" i="50"/>
  <c r="O43" i="50" s="1"/>
  <c r="C43" i="50"/>
  <c r="N43" i="50" s="1"/>
  <c r="E41" i="42"/>
  <c r="P41" i="42" s="1"/>
  <c r="F41" i="42"/>
  <c r="Q41" i="42" s="1"/>
  <c r="F40" i="43"/>
  <c r="Q40" i="43" s="1"/>
  <c r="P40" i="43"/>
  <c r="T38" i="43"/>
  <c r="E40" i="41"/>
  <c r="P40" i="41" s="1"/>
  <c r="F40" i="41"/>
  <c r="Q40" i="41" s="1"/>
  <c r="T38" i="41"/>
  <c r="C40" i="41"/>
  <c r="N40" i="41" s="1"/>
  <c r="D40" i="41"/>
  <c r="O40" i="41" s="1"/>
  <c r="S39" i="41"/>
  <c r="R39" i="41"/>
  <c r="E40" i="40"/>
  <c r="P40" i="40" s="1"/>
  <c r="F40" i="40"/>
  <c r="Q40" i="40" s="1"/>
  <c r="C40" i="43"/>
  <c r="N40" i="43" s="1"/>
  <c r="D40" i="43"/>
  <c r="O40" i="43" s="1"/>
  <c r="R39" i="43"/>
  <c r="S39" i="43"/>
  <c r="T39" i="42"/>
  <c r="C41" i="42"/>
  <c r="N41" i="42" s="1"/>
  <c r="D41" i="42"/>
  <c r="O41" i="42" s="1"/>
  <c r="S40" i="42"/>
  <c r="R40" i="42"/>
  <c r="T38" i="40"/>
  <c r="R39" i="40"/>
  <c r="S39" i="40"/>
  <c r="C40" i="40"/>
  <c r="N40" i="40" s="1"/>
  <c r="D40" i="40"/>
  <c r="O40" i="40" s="1"/>
  <c r="B52" i="43" l="1"/>
  <c r="E51" i="43"/>
  <c r="T42" i="50"/>
  <c r="F44" i="50"/>
  <c r="Q44" i="50" s="1"/>
  <c r="E44" i="50"/>
  <c r="P44" i="50" s="1"/>
  <c r="D44" i="50"/>
  <c r="O44" i="50" s="1"/>
  <c r="C44" i="50"/>
  <c r="N44" i="50" s="1"/>
  <c r="R43" i="50"/>
  <c r="S43" i="50"/>
  <c r="E42" i="42"/>
  <c r="P42" i="42" s="1"/>
  <c r="F42" i="42"/>
  <c r="Q42" i="42" s="1"/>
  <c r="P41" i="43"/>
  <c r="F41" i="43"/>
  <c r="Q41" i="43" s="1"/>
  <c r="T39" i="43"/>
  <c r="F41" i="41"/>
  <c r="Q41" i="41" s="1"/>
  <c r="E41" i="41"/>
  <c r="P41" i="41" s="1"/>
  <c r="T39" i="41"/>
  <c r="D41" i="41"/>
  <c r="O41" i="41" s="1"/>
  <c r="C41" i="41"/>
  <c r="N41" i="41" s="1"/>
  <c r="R40" i="41"/>
  <c r="S40" i="41"/>
  <c r="E41" i="40"/>
  <c r="P41" i="40" s="1"/>
  <c r="F41" i="40"/>
  <c r="Q41" i="40" s="1"/>
  <c r="T40" i="42"/>
  <c r="R40" i="43"/>
  <c r="S40" i="43"/>
  <c r="D41" i="43"/>
  <c r="O41" i="43" s="1"/>
  <c r="C41" i="43"/>
  <c r="N41" i="43" s="1"/>
  <c r="S41" i="42"/>
  <c r="R41" i="42"/>
  <c r="C42" i="42"/>
  <c r="N42" i="42" s="1"/>
  <c r="D42" i="42"/>
  <c r="O42" i="42" s="1"/>
  <c r="S40" i="40"/>
  <c r="T39" i="40"/>
  <c r="R40" i="40"/>
  <c r="C41" i="40"/>
  <c r="N41" i="40" s="1"/>
  <c r="D41" i="40"/>
  <c r="O41" i="40" s="1"/>
  <c r="B53" i="43" l="1"/>
  <c r="E53" i="43" s="1"/>
  <c r="E52" i="43"/>
  <c r="S44" i="50"/>
  <c r="R44" i="50"/>
  <c r="T43" i="50"/>
  <c r="D45" i="50"/>
  <c r="O45" i="50" s="1"/>
  <c r="C45" i="50"/>
  <c r="N45" i="50" s="1"/>
  <c r="F45" i="50"/>
  <c r="Q45" i="50" s="1"/>
  <c r="E45" i="50"/>
  <c r="P45" i="50" s="1"/>
  <c r="E43" i="42"/>
  <c r="P43" i="42" s="1"/>
  <c r="F43" i="42"/>
  <c r="Q43" i="42" s="1"/>
  <c r="P42" i="43"/>
  <c r="F42" i="43"/>
  <c r="Q42" i="43" s="1"/>
  <c r="T41" i="42"/>
  <c r="F42" i="41"/>
  <c r="Q42" i="41" s="1"/>
  <c r="E42" i="41"/>
  <c r="P42" i="41" s="1"/>
  <c r="T40" i="41"/>
  <c r="C42" i="41"/>
  <c r="N42" i="41" s="1"/>
  <c r="D42" i="41"/>
  <c r="O42" i="41" s="1"/>
  <c r="S41" i="41"/>
  <c r="R41" i="41"/>
  <c r="E42" i="40"/>
  <c r="P42" i="40" s="1"/>
  <c r="F42" i="40"/>
  <c r="Q42" i="40" s="1"/>
  <c r="T40" i="40"/>
  <c r="R41" i="43"/>
  <c r="S41" i="43"/>
  <c r="D42" i="43"/>
  <c r="O42" i="43" s="1"/>
  <c r="C42" i="43"/>
  <c r="N42" i="43" s="1"/>
  <c r="T40" i="43"/>
  <c r="D43" i="42"/>
  <c r="O43" i="42" s="1"/>
  <c r="C43" i="42"/>
  <c r="N43" i="42" s="1"/>
  <c r="S42" i="42"/>
  <c r="R42" i="42"/>
  <c r="S41" i="40"/>
  <c r="R41" i="40"/>
  <c r="D42" i="40"/>
  <c r="O42" i="40" s="1"/>
  <c r="C42" i="40"/>
  <c r="N42" i="40" s="1"/>
  <c r="T41" i="41" l="1"/>
  <c r="T44" i="50"/>
  <c r="F46" i="50"/>
  <c r="Q46" i="50" s="1"/>
  <c r="E46" i="50"/>
  <c r="P46" i="50" s="1"/>
  <c r="D46" i="50"/>
  <c r="O46" i="50" s="1"/>
  <c r="C46" i="50"/>
  <c r="N46" i="50" s="1"/>
  <c r="S45" i="50"/>
  <c r="R45" i="50"/>
  <c r="E44" i="42"/>
  <c r="P44" i="42" s="1"/>
  <c r="F44" i="42"/>
  <c r="Q44" i="42" s="1"/>
  <c r="P43" i="43"/>
  <c r="F43" i="43"/>
  <c r="Q43" i="43" s="1"/>
  <c r="F43" i="41"/>
  <c r="Q43" i="41" s="1"/>
  <c r="E43" i="41"/>
  <c r="P43" i="41" s="1"/>
  <c r="C43" i="41"/>
  <c r="N43" i="41" s="1"/>
  <c r="D43" i="41"/>
  <c r="O43" i="41" s="1"/>
  <c r="S42" i="41"/>
  <c r="R42" i="41"/>
  <c r="E43" i="40"/>
  <c r="P43" i="40" s="1"/>
  <c r="F43" i="40"/>
  <c r="Q43" i="40" s="1"/>
  <c r="T41" i="40"/>
  <c r="C43" i="43"/>
  <c r="N43" i="43" s="1"/>
  <c r="D43" i="43"/>
  <c r="O43" i="43" s="1"/>
  <c r="S42" i="43"/>
  <c r="R42" i="43"/>
  <c r="T41" i="43"/>
  <c r="T42" i="42"/>
  <c r="S43" i="42"/>
  <c r="R43" i="42"/>
  <c r="D44" i="42"/>
  <c r="O44" i="42" s="1"/>
  <c r="C44" i="42"/>
  <c r="N44" i="42" s="1"/>
  <c r="R42" i="40"/>
  <c r="S42" i="40"/>
  <c r="D43" i="40"/>
  <c r="O43" i="40" s="1"/>
  <c r="C43" i="40"/>
  <c r="N43" i="40" s="1"/>
  <c r="T42" i="41" l="1"/>
  <c r="T45" i="50"/>
  <c r="S46" i="50"/>
  <c r="R46" i="50"/>
  <c r="E47" i="50"/>
  <c r="P47" i="50" s="1"/>
  <c r="D47" i="50"/>
  <c r="O47" i="50" s="1"/>
  <c r="C47" i="50"/>
  <c r="N47" i="50" s="1"/>
  <c r="F47" i="50"/>
  <c r="Q47" i="50" s="1"/>
  <c r="E45" i="42"/>
  <c r="P45" i="42" s="1"/>
  <c r="F45" i="42"/>
  <c r="Q45" i="42" s="1"/>
  <c r="P44" i="43"/>
  <c r="F44" i="43"/>
  <c r="Q44" i="43" s="1"/>
  <c r="T42" i="43"/>
  <c r="F44" i="41"/>
  <c r="Q44" i="41" s="1"/>
  <c r="E44" i="41"/>
  <c r="P44" i="41" s="1"/>
  <c r="C44" i="41"/>
  <c r="N44" i="41" s="1"/>
  <c r="D44" i="41"/>
  <c r="O44" i="41" s="1"/>
  <c r="R43" i="41"/>
  <c r="S43" i="41"/>
  <c r="E44" i="40"/>
  <c r="P44" i="40" s="1"/>
  <c r="F44" i="40"/>
  <c r="Q44" i="40" s="1"/>
  <c r="T43" i="42"/>
  <c r="D44" i="43"/>
  <c r="O44" i="43" s="1"/>
  <c r="C44" i="43"/>
  <c r="N44" i="43" s="1"/>
  <c r="S43" i="43"/>
  <c r="R43" i="43"/>
  <c r="C45" i="42"/>
  <c r="N45" i="42" s="1"/>
  <c r="D45" i="42"/>
  <c r="O45" i="42" s="1"/>
  <c r="S44" i="42"/>
  <c r="R44" i="42"/>
  <c r="T42" i="40"/>
  <c r="R43" i="40"/>
  <c r="S43" i="40"/>
  <c r="C44" i="40"/>
  <c r="N44" i="40" s="1"/>
  <c r="D44" i="40"/>
  <c r="O44" i="40" s="1"/>
  <c r="T43" i="43" l="1"/>
  <c r="T46" i="50"/>
  <c r="R47" i="50"/>
  <c r="S47" i="50"/>
  <c r="F48" i="50"/>
  <c r="Q48" i="50" s="1"/>
  <c r="E48" i="50"/>
  <c r="P48" i="50" s="1"/>
  <c r="D48" i="50"/>
  <c r="O48" i="50" s="1"/>
  <c r="C48" i="50"/>
  <c r="N48" i="50" s="1"/>
  <c r="E46" i="42"/>
  <c r="P46" i="42" s="1"/>
  <c r="F46" i="42"/>
  <c r="Q46" i="42" s="1"/>
  <c r="P45" i="43"/>
  <c r="F45" i="43"/>
  <c r="Q45" i="43" s="1"/>
  <c r="F45" i="41"/>
  <c r="Q45" i="41" s="1"/>
  <c r="E45" i="41"/>
  <c r="P45" i="41" s="1"/>
  <c r="T43" i="41"/>
  <c r="C45" i="41"/>
  <c r="N45" i="41" s="1"/>
  <c r="D45" i="41"/>
  <c r="O45" i="41" s="1"/>
  <c r="R44" i="41"/>
  <c r="S44" i="41"/>
  <c r="E45" i="40"/>
  <c r="P45" i="40" s="1"/>
  <c r="F45" i="40"/>
  <c r="Q45" i="40" s="1"/>
  <c r="T43" i="40"/>
  <c r="S44" i="43"/>
  <c r="R44" i="43"/>
  <c r="C45" i="43"/>
  <c r="N45" i="43" s="1"/>
  <c r="D45" i="43"/>
  <c r="O45" i="43" s="1"/>
  <c r="T44" i="42"/>
  <c r="C46" i="42"/>
  <c r="N46" i="42" s="1"/>
  <c r="D46" i="42"/>
  <c r="O46" i="42" s="1"/>
  <c r="S45" i="42"/>
  <c r="R45" i="42"/>
  <c r="R44" i="40"/>
  <c r="S44" i="40"/>
  <c r="D45" i="40"/>
  <c r="O45" i="40" s="1"/>
  <c r="C45" i="40"/>
  <c r="N45" i="40" s="1"/>
  <c r="S45" i="40" l="1"/>
  <c r="T47" i="50"/>
  <c r="R48" i="50"/>
  <c r="S48" i="50"/>
  <c r="D49" i="50"/>
  <c r="O49" i="50" s="1"/>
  <c r="C49" i="50"/>
  <c r="N49" i="50" s="1"/>
  <c r="F49" i="50"/>
  <c r="Q49" i="50" s="1"/>
  <c r="E49" i="50"/>
  <c r="P49" i="50" s="1"/>
  <c r="E47" i="42"/>
  <c r="P47" i="42" s="1"/>
  <c r="F47" i="42"/>
  <c r="Q47" i="42" s="1"/>
  <c r="P46" i="43"/>
  <c r="F46" i="43"/>
  <c r="Q46" i="43" s="1"/>
  <c r="T44" i="43"/>
  <c r="F46" i="41"/>
  <c r="Q46" i="41" s="1"/>
  <c r="E46" i="41"/>
  <c r="P46" i="41" s="1"/>
  <c r="T44" i="41"/>
  <c r="D46" i="41"/>
  <c r="O46" i="41" s="1"/>
  <c r="C46" i="41"/>
  <c r="N46" i="41" s="1"/>
  <c r="S45" i="41"/>
  <c r="R45" i="41"/>
  <c r="E46" i="40"/>
  <c r="P46" i="40" s="1"/>
  <c r="F46" i="40"/>
  <c r="Q46" i="40" s="1"/>
  <c r="R45" i="43"/>
  <c r="S45" i="43"/>
  <c r="D46" i="43"/>
  <c r="O46" i="43" s="1"/>
  <c r="C46" i="43"/>
  <c r="N46" i="43" s="1"/>
  <c r="T45" i="42"/>
  <c r="C47" i="42"/>
  <c r="N47" i="42" s="1"/>
  <c r="D47" i="42"/>
  <c r="O47" i="42" s="1"/>
  <c r="S46" i="42"/>
  <c r="R46" i="42"/>
  <c r="T44" i="40"/>
  <c r="R45" i="40"/>
  <c r="D46" i="40"/>
  <c r="O46" i="40" s="1"/>
  <c r="C46" i="40"/>
  <c r="N46" i="40" s="1"/>
  <c r="T45" i="40" l="1"/>
  <c r="E50" i="50"/>
  <c r="P50" i="50" s="1"/>
  <c r="C50" i="50"/>
  <c r="N50" i="50" s="1"/>
  <c r="F50" i="50"/>
  <c r="Q50" i="50" s="1"/>
  <c r="D50" i="50"/>
  <c r="O50" i="50" s="1"/>
  <c r="R49" i="50"/>
  <c r="S49" i="50"/>
  <c r="T48" i="50"/>
  <c r="E48" i="42"/>
  <c r="P48" i="42" s="1"/>
  <c r="F48" i="42"/>
  <c r="Q48" i="42" s="1"/>
  <c r="P47" i="43"/>
  <c r="F47" i="43"/>
  <c r="Q47" i="43" s="1"/>
  <c r="F47" i="41"/>
  <c r="Q47" i="41" s="1"/>
  <c r="E47" i="41"/>
  <c r="P47" i="41" s="1"/>
  <c r="T45" i="41"/>
  <c r="R46" i="41"/>
  <c r="S46" i="41"/>
  <c r="D47" i="41"/>
  <c r="O47" i="41" s="1"/>
  <c r="C47" i="41"/>
  <c r="N47" i="41" s="1"/>
  <c r="E47" i="40"/>
  <c r="P47" i="40" s="1"/>
  <c r="F47" i="40"/>
  <c r="Q47" i="40" s="1"/>
  <c r="S46" i="40"/>
  <c r="D47" i="43"/>
  <c r="O47" i="43" s="1"/>
  <c r="C47" i="43"/>
  <c r="N47" i="43" s="1"/>
  <c r="S46" i="43"/>
  <c r="R46" i="43"/>
  <c r="T45" i="43"/>
  <c r="T46" i="42"/>
  <c r="C48" i="42"/>
  <c r="N48" i="42" s="1"/>
  <c r="D48" i="42"/>
  <c r="O48" i="42" s="1"/>
  <c r="R47" i="42"/>
  <c r="S47" i="42"/>
  <c r="R46" i="40"/>
  <c r="D47" i="40"/>
  <c r="O47" i="40" s="1"/>
  <c r="C47" i="40"/>
  <c r="N47" i="40" s="1"/>
  <c r="T49" i="50" l="1"/>
  <c r="S50" i="50"/>
  <c r="R50" i="50"/>
  <c r="D51" i="50"/>
  <c r="O51" i="50" s="1"/>
  <c r="F51" i="50"/>
  <c r="Q51" i="50" s="1"/>
  <c r="E51" i="50"/>
  <c r="P51" i="50" s="1"/>
  <c r="C51" i="50"/>
  <c r="N51" i="50" s="1"/>
  <c r="E49" i="42"/>
  <c r="P49" i="42" s="1"/>
  <c r="F49" i="42"/>
  <c r="Q49" i="42" s="1"/>
  <c r="P48" i="43"/>
  <c r="F48" i="43"/>
  <c r="Q48" i="43" s="1"/>
  <c r="T46" i="40"/>
  <c r="T46" i="43"/>
  <c r="F48" i="41"/>
  <c r="Q48" i="41" s="1"/>
  <c r="E48" i="41"/>
  <c r="P48" i="41" s="1"/>
  <c r="C48" i="41"/>
  <c r="N48" i="41" s="1"/>
  <c r="D48" i="41"/>
  <c r="O48" i="41" s="1"/>
  <c r="R47" i="41"/>
  <c r="S47" i="41"/>
  <c r="T46" i="41"/>
  <c r="E48" i="40"/>
  <c r="P48" i="40" s="1"/>
  <c r="F48" i="40"/>
  <c r="Q48" i="40" s="1"/>
  <c r="S47" i="40"/>
  <c r="S47" i="43"/>
  <c r="R47" i="43"/>
  <c r="D48" i="43"/>
  <c r="O48" i="43" s="1"/>
  <c r="C48" i="43"/>
  <c r="N48" i="43" s="1"/>
  <c r="T47" i="42"/>
  <c r="C49" i="42"/>
  <c r="N49" i="42" s="1"/>
  <c r="D49" i="42"/>
  <c r="O49" i="42" s="1"/>
  <c r="R48" i="42"/>
  <c r="S48" i="42"/>
  <c r="R47" i="40"/>
  <c r="D48" i="40"/>
  <c r="O48" i="40" s="1"/>
  <c r="C48" i="40"/>
  <c r="N48" i="40" s="1"/>
  <c r="T47" i="40" l="1"/>
  <c r="F52" i="50"/>
  <c r="Q52" i="50" s="1"/>
  <c r="E52" i="50"/>
  <c r="P52" i="50" s="1"/>
  <c r="D52" i="50"/>
  <c r="O52" i="50" s="1"/>
  <c r="C52" i="50"/>
  <c r="N52" i="50" s="1"/>
  <c r="S51" i="50"/>
  <c r="R51" i="50"/>
  <c r="T50" i="50"/>
  <c r="E50" i="42"/>
  <c r="P50" i="42" s="1"/>
  <c r="F50" i="42"/>
  <c r="Q50" i="42" s="1"/>
  <c r="T47" i="43"/>
  <c r="P49" i="43"/>
  <c r="F49" i="43"/>
  <c r="Q49" i="43" s="1"/>
  <c r="F49" i="41"/>
  <c r="Q49" i="41" s="1"/>
  <c r="E49" i="41"/>
  <c r="P49" i="41" s="1"/>
  <c r="T47" i="41"/>
  <c r="C49" i="41"/>
  <c r="N49" i="41" s="1"/>
  <c r="D49" i="41"/>
  <c r="O49" i="41" s="1"/>
  <c r="R48" i="41"/>
  <c r="S48" i="41"/>
  <c r="E49" i="40"/>
  <c r="P49" i="40" s="1"/>
  <c r="F49" i="40"/>
  <c r="Q49" i="40" s="1"/>
  <c r="R48" i="43"/>
  <c r="S48" i="43"/>
  <c r="C49" i="43"/>
  <c r="N49" i="43" s="1"/>
  <c r="D49" i="43"/>
  <c r="O49" i="43" s="1"/>
  <c r="T48" i="42"/>
  <c r="C50" i="42"/>
  <c r="N50" i="42" s="1"/>
  <c r="D50" i="42"/>
  <c r="O50" i="42" s="1"/>
  <c r="S49" i="42"/>
  <c r="R49" i="42"/>
  <c r="S48" i="40"/>
  <c r="R48" i="40"/>
  <c r="D49" i="40"/>
  <c r="O49" i="40" s="1"/>
  <c r="C49" i="40"/>
  <c r="N49" i="40" s="1"/>
  <c r="T51" i="50" l="1"/>
  <c r="S52" i="50"/>
  <c r="R52" i="50"/>
  <c r="F53" i="50"/>
  <c r="E53" i="50"/>
  <c r="D53" i="50"/>
  <c r="O53" i="50" s="1"/>
  <c r="C53" i="50"/>
  <c r="E51" i="42"/>
  <c r="P51" i="42" s="1"/>
  <c r="F51" i="42"/>
  <c r="Q51" i="42" s="1"/>
  <c r="F50" i="43"/>
  <c r="Q50" i="43" s="1"/>
  <c r="P50" i="43"/>
  <c r="T48" i="43"/>
  <c r="T49" i="42"/>
  <c r="E50" i="41"/>
  <c r="P50" i="41" s="1"/>
  <c r="F50" i="41"/>
  <c r="Q50" i="41" s="1"/>
  <c r="T48" i="41"/>
  <c r="D50" i="41"/>
  <c r="O50" i="41" s="1"/>
  <c r="C50" i="41"/>
  <c r="N50" i="41" s="1"/>
  <c r="S49" i="41"/>
  <c r="R49" i="41"/>
  <c r="E50" i="40"/>
  <c r="P50" i="40" s="1"/>
  <c r="F50" i="40"/>
  <c r="Q50" i="40" s="1"/>
  <c r="S49" i="40"/>
  <c r="D50" i="43"/>
  <c r="O50" i="43" s="1"/>
  <c r="C50" i="43"/>
  <c r="N50" i="43" s="1"/>
  <c r="R49" i="43"/>
  <c r="S49" i="43"/>
  <c r="D51" i="42"/>
  <c r="O51" i="42" s="1"/>
  <c r="C51" i="42"/>
  <c r="N51" i="42" s="1"/>
  <c r="S50" i="42"/>
  <c r="R50" i="42"/>
  <c r="T48" i="40"/>
  <c r="R49" i="40"/>
  <c r="D50" i="40"/>
  <c r="O50" i="40" s="1"/>
  <c r="C50" i="40"/>
  <c r="N50" i="40" s="1"/>
  <c r="F2" i="48" l="1" a="1"/>
  <c r="F2" i="48" s="1"/>
  <c r="AR5" i="51" a="1"/>
  <c r="AR5" i="51" s="1"/>
  <c r="N53" i="50"/>
  <c r="AN5" i="51" a="1"/>
  <c r="AN5" i="51" s="1"/>
  <c r="Q53" i="50"/>
  <c r="AS5" i="51" s="1" a="1"/>
  <c r="AS5" i="51" s="1"/>
  <c r="P53" i="50"/>
  <c r="T49" i="40"/>
  <c r="T52" i="50"/>
  <c r="S53" i="50"/>
  <c r="R53" i="50"/>
  <c r="E52" i="42"/>
  <c r="P52" i="42" s="1"/>
  <c r="F52" i="42"/>
  <c r="Q52" i="42" s="1"/>
  <c r="F51" i="43"/>
  <c r="Q51" i="43" s="1"/>
  <c r="P51" i="43"/>
  <c r="E51" i="41"/>
  <c r="P51" i="41" s="1"/>
  <c r="F51" i="41"/>
  <c r="Q51" i="41" s="1"/>
  <c r="T49" i="41"/>
  <c r="D51" i="41"/>
  <c r="O51" i="41" s="1"/>
  <c r="C51" i="41"/>
  <c r="N51" i="41" s="1"/>
  <c r="S50" i="41"/>
  <c r="R50" i="41"/>
  <c r="E51" i="40"/>
  <c r="P51" i="40" s="1"/>
  <c r="F51" i="40"/>
  <c r="Q51" i="40" s="1"/>
  <c r="S50" i="40"/>
  <c r="T50" i="42"/>
  <c r="T49" i="43"/>
  <c r="C51" i="43"/>
  <c r="N51" i="43" s="1"/>
  <c r="D51" i="43"/>
  <c r="O51" i="43" s="1"/>
  <c r="S50" i="43"/>
  <c r="R50" i="43"/>
  <c r="C52" i="42"/>
  <c r="N52" i="42" s="1"/>
  <c r="D52" i="42"/>
  <c r="O52" i="42" s="1"/>
  <c r="S51" i="42"/>
  <c r="R51" i="42"/>
  <c r="R50" i="40"/>
  <c r="D51" i="40"/>
  <c r="O51" i="40" s="1"/>
  <c r="C51" i="40"/>
  <c r="N51" i="40" s="1"/>
  <c r="S51" i="40" l="1"/>
  <c r="AX7" i="51"/>
  <c r="T53" i="50"/>
  <c r="E53" i="42"/>
  <c r="P53" i="42" s="1"/>
  <c r="F53" i="42"/>
  <c r="F52" i="43"/>
  <c r="Q52" i="43" s="1"/>
  <c r="P52" i="43"/>
  <c r="T50" i="40"/>
  <c r="F52" i="41"/>
  <c r="Q52" i="41" s="1"/>
  <c r="E52" i="41"/>
  <c r="P52" i="41" s="1"/>
  <c r="T50" i="41"/>
  <c r="C52" i="41"/>
  <c r="N52" i="41" s="1"/>
  <c r="D52" i="41"/>
  <c r="O52" i="41" s="1"/>
  <c r="R51" i="41"/>
  <c r="S51" i="41"/>
  <c r="E52" i="40"/>
  <c r="P52" i="40" s="1"/>
  <c r="F52" i="40"/>
  <c r="Q52" i="40" s="1"/>
  <c r="T51" i="42"/>
  <c r="C52" i="43"/>
  <c r="N52" i="43" s="1"/>
  <c r="D52" i="43"/>
  <c r="O52" i="43" s="1"/>
  <c r="T50" i="43"/>
  <c r="R51" i="43"/>
  <c r="S51" i="43"/>
  <c r="C53" i="42"/>
  <c r="D53" i="42"/>
  <c r="O53" i="42" s="1"/>
  <c r="S52" i="42"/>
  <c r="R52" i="42"/>
  <c r="R51" i="40"/>
  <c r="C52" i="40"/>
  <c r="N52" i="40" s="1"/>
  <c r="D52" i="40"/>
  <c r="O52" i="40" s="1"/>
  <c r="D2" i="48" l="1" a="1"/>
  <c r="D2" i="48" s="1"/>
  <c r="AF5" i="51" a="1"/>
  <c r="AF5" i="51" s="1"/>
  <c r="T51" i="40"/>
  <c r="AX31" i="51"/>
  <c r="AX11" i="51"/>
  <c r="AX52" i="51"/>
  <c r="AX23" i="51"/>
  <c r="AX48" i="51"/>
  <c r="AX34" i="51"/>
  <c r="AX49" i="51"/>
  <c r="AX37" i="51"/>
  <c r="AX30" i="51"/>
  <c r="AX13" i="51"/>
  <c r="AX46" i="51"/>
  <c r="AX53" i="51"/>
  <c r="AX40" i="51"/>
  <c r="AX29" i="51"/>
  <c r="AX24" i="51"/>
  <c r="AX28" i="51"/>
  <c r="AX22" i="51"/>
  <c r="AX19" i="51"/>
  <c r="AX16" i="51"/>
  <c r="AX45" i="51"/>
  <c r="AX38" i="51"/>
  <c r="AX42" i="51"/>
  <c r="AX25" i="51"/>
  <c r="AX50" i="51"/>
  <c r="AX33" i="51"/>
  <c r="AX20" i="51"/>
  <c r="AX54" i="51"/>
  <c r="AX18" i="51"/>
  <c r="AX17" i="51"/>
  <c r="AX10" i="51"/>
  <c r="AX39" i="51"/>
  <c r="AX32" i="51"/>
  <c r="AX26" i="51"/>
  <c r="AX21" i="51"/>
  <c r="AX12" i="51"/>
  <c r="AX27" i="51"/>
  <c r="AX8" i="51"/>
  <c r="AX14" i="51"/>
  <c r="AX9" i="51"/>
  <c r="AX47" i="51"/>
  <c r="AX41" i="51"/>
  <c r="AX35" i="51"/>
  <c r="AX51" i="51"/>
  <c r="AX44" i="51"/>
  <c r="AX15" i="51"/>
  <c r="AX43" i="51"/>
  <c r="AX36" i="51"/>
  <c r="AU5" i="51"/>
  <c r="N53" i="42"/>
  <c r="AB5" i="51" a="1"/>
  <c r="AB5" i="51" s="1"/>
  <c r="Q53" i="42"/>
  <c r="AG5" i="51" s="1" a="1"/>
  <c r="AG5" i="51" s="1"/>
  <c r="P53" i="43"/>
  <c r="F53" i="43"/>
  <c r="T51" i="43"/>
  <c r="F53" i="41"/>
  <c r="E53" i="41"/>
  <c r="T51" i="41"/>
  <c r="C53" i="41"/>
  <c r="D53" i="41"/>
  <c r="O53" i="41" s="1"/>
  <c r="R52" i="41"/>
  <c r="S52" i="41"/>
  <c r="E53" i="40"/>
  <c r="F53" i="40"/>
  <c r="B2" i="48" s="1" a="1"/>
  <c r="B2" i="48" s="1"/>
  <c r="C53" i="43"/>
  <c r="D53" i="43"/>
  <c r="O53" i="43" s="1"/>
  <c r="R52" i="43"/>
  <c r="S52" i="43"/>
  <c r="T52" i="42"/>
  <c r="S53" i="42"/>
  <c r="R53" i="42"/>
  <c r="R52" i="40"/>
  <c r="S52" i="40"/>
  <c r="C53" i="40"/>
  <c r="D53" i="40"/>
  <c r="O53" i="40" s="1"/>
  <c r="T5" i="51" l="1" a="1"/>
  <c r="T5" i="51" s="1"/>
  <c r="C2" i="48" a="1"/>
  <c r="C2" i="48" s="1"/>
  <c r="Q53" i="40"/>
  <c r="H5" i="51" s="1" a="1"/>
  <c r="H5" i="51" s="1"/>
  <c r="G5" i="51" a="1"/>
  <c r="G5" i="51" s="1"/>
  <c r="P53" i="40"/>
  <c r="E5" i="51" a="1"/>
  <c r="E5" i="51" s="1"/>
  <c r="N53" i="40"/>
  <c r="C5" i="51" a="1"/>
  <c r="C5" i="51" s="1"/>
  <c r="P53" i="41"/>
  <c r="R5" i="51" a="1"/>
  <c r="Q53" i="41"/>
  <c r="U5" i="51" s="1" a="1"/>
  <c r="U5" i="51" s="1"/>
  <c r="N53" i="41"/>
  <c r="R53" i="41" s="1"/>
  <c r="P5" i="51" a="1"/>
  <c r="P5" i="51" s="1"/>
  <c r="AX55" i="51"/>
  <c r="AK7" i="51"/>
  <c r="Q53" i="43"/>
  <c r="N53" i="43"/>
  <c r="T52" i="41"/>
  <c r="T53" i="42"/>
  <c r="T52" i="40"/>
  <c r="T52" i="43"/>
  <c r="R53" i="43"/>
  <c r="S53" i="43"/>
  <c r="S53" i="41" l="1"/>
  <c r="R53" i="40"/>
  <c r="S53" i="40"/>
  <c r="L48" i="51"/>
  <c r="L36" i="51"/>
  <c r="L31" i="51"/>
  <c r="L49" i="51"/>
  <c r="L44" i="51"/>
  <c r="L28" i="51"/>
  <c r="L25" i="51"/>
  <c r="L35" i="51"/>
  <c r="L32" i="51"/>
  <c r="L21" i="51"/>
  <c r="L9" i="51"/>
  <c r="L45" i="51"/>
  <c r="L43" i="51"/>
  <c r="L47" i="51"/>
  <c r="L16" i="51"/>
  <c r="L23" i="51"/>
  <c r="L41" i="51"/>
  <c r="L53" i="51"/>
  <c r="L11" i="51"/>
  <c r="L8" i="51"/>
  <c r="L15" i="51"/>
  <c r="L17" i="51"/>
  <c r="L24" i="51"/>
  <c r="L52" i="51"/>
  <c r="L40" i="51"/>
  <c r="L13" i="51"/>
  <c r="L20" i="51"/>
  <c r="L54" i="51"/>
  <c r="L29" i="51"/>
  <c r="L50" i="51"/>
  <c r="L46" i="51"/>
  <c r="L7" i="51"/>
  <c r="L51" i="51"/>
  <c r="L38" i="51"/>
  <c r="L34" i="51"/>
  <c r="L19" i="51"/>
  <c r="L33" i="51"/>
  <c r="L12" i="51"/>
  <c r="L37" i="51"/>
  <c r="L42" i="51"/>
  <c r="L30" i="51"/>
  <c r="L39" i="51"/>
  <c r="L26" i="51"/>
  <c r="L22" i="51"/>
  <c r="L18" i="51"/>
  <c r="L27" i="51"/>
  <c r="L14" i="51"/>
  <c r="L10" i="51"/>
  <c r="Y7" i="51"/>
  <c r="X22" i="51"/>
  <c r="X32" i="51"/>
  <c r="X28" i="51"/>
  <c r="X30" i="51"/>
  <c r="X36" i="51"/>
  <c r="X49" i="51"/>
  <c r="X34" i="51"/>
  <c r="X21" i="51"/>
  <c r="X18" i="51"/>
  <c r="X7" i="51"/>
  <c r="X13" i="51"/>
  <c r="X50" i="51"/>
  <c r="X39" i="51"/>
  <c r="X19" i="51"/>
  <c r="X52" i="51"/>
  <c r="X46" i="51"/>
  <c r="X45" i="51"/>
  <c r="X54" i="51"/>
  <c r="X8" i="51"/>
  <c r="X14" i="51"/>
  <c r="X51" i="51"/>
  <c r="X42" i="51"/>
  <c r="X12" i="51"/>
  <c r="X11" i="51"/>
  <c r="X31" i="51"/>
  <c r="X44" i="51"/>
  <c r="X35" i="51"/>
  <c r="X41" i="51"/>
  <c r="X27" i="51"/>
  <c r="X24" i="51"/>
  <c r="X23" i="51"/>
  <c r="X20" i="51"/>
  <c r="X9" i="51"/>
  <c r="R5" i="51"/>
  <c r="X25" i="51"/>
  <c r="X37" i="51"/>
  <c r="X16" i="51"/>
  <c r="X33" i="51"/>
  <c r="X17" i="51"/>
  <c r="X48" i="51"/>
  <c r="X47" i="51"/>
  <c r="X26" i="51"/>
  <c r="X15" i="51"/>
  <c r="X38" i="51"/>
  <c r="X40" i="51"/>
  <c r="X43" i="51"/>
  <c r="X29" i="51"/>
  <c r="X10" i="51"/>
  <c r="X53" i="51"/>
  <c r="AJ11" i="51"/>
  <c r="AK37" i="51"/>
  <c r="AJ19" i="51"/>
  <c r="AJ30" i="51"/>
  <c r="AJ53" i="51"/>
  <c r="AJ10" i="51"/>
  <c r="AJ42" i="51"/>
  <c r="AJ15" i="51"/>
  <c r="AJ20" i="51"/>
  <c r="AJ45" i="51"/>
  <c r="AJ47" i="51"/>
  <c r="AK53" i="51"/>
  <c r="AJ39" i="51"/>
  <c r="AK46" i="51"/>
  <c r="AJ29" i="51"/>
  <c r="AJ17" i="51"/>
  <c r="AJ52" i="51"/>
  <c r="AJ37" i="51"/>
  <c r="AJ8" i="51"/>
  <c r="AJ24" i="51"/>
  <c r="AJ46" i="51"/>
  <c r="AJ12" i="51"/>
  <c r="AJ33" i="51"/>
  <c r="AK15" i="51"/>
  <c r="AJ44" i="51"/>
  <c r="AJ32" i="51"/>
  <c r="AJ49" i="51"/>
  <c r="AJ18" i="51"/>
  <c r="AJ40" i="51"/>
  <c r="AJ41" i="51"/>
  <c r="AJ25" i="51"/>
  <c r="AJ48" i="51"/>
  <c r="AJ26" i="51"/>
  <c r="AJ51" i="51"/>
  <c r="AJ9" i="51"/>
  <c r="AJ27" i="51"/>
  <c r="AJ22" i="51"/>
  <c r="AJ54" i="51"/>
  <c r="AJ50" i="51"/>
  <c r="AJ13" i="51"/>
  <c r="AJ43" i="51"/>
  <c r="AJ35" i="51"/>
  <c r="AJ14" i="51"/>
  <c r="AJ36" i="51"/>
  <c r="AJ23" i="51"/>
  <c r="AJ34" i="51"/>
  <c r="AJ28" i="51"/>
  <c r="AJ16" i="51"/>
  <c r="AJ38" i="51"/>
  <c r="AJ21" i="51"/>
  <c r="AJ31" i="51"/>
  <c r="AK17" i="51"/>
  <c r="AK30" i="51"/>
  <c r="AK33" i="51"/>
  <c r="AK12" i="51"/>
  <c r="AK36" i="51"/>
  <c r="AK18" i="51"/>
  <c r="AK21" i="51"/>
  <c r="AK47" i="51"/>
  <c r="AK11" i="51"/>
  <c r="AK39" i="51"/>
  <c r="AK42" i="51"/>
  <c r="AK34" i="51"/>
  <c r="AK43" i="51"/>
  <c r="AK50" i="51"/>
  <c r="AK52" i="51"/>
  <c r="AK8" i="51"/>
  <c r="AK44" i="51"/>
  <c r="AK19" i="51"/>
  <c r="AK38" i="51"/>
  <c r="AK40" i="51"/>
  <c r="AK32" i="51"/>
  <c r="AK16" i="51"/>
  <c r="AK26" i="51"/>
  <c r="AK28" i="51"/>
  <c r="AK20" i="51"/>
  <c r="AK23" i="51"/>
  <c r="AK14" i="51"/>
  <c r="AK51" i="51"/>
  <c r="AK45" i="51"/>
  <c r="AK48" i="51"/>
  <c r="AK27" i="51"/>
  <c r="AK31" i="51"/>
  <c r="AK9" i="51"/>
  <c r="AK35" i="51"/>
  <c r="AK49" i="51"/>
  <c r="AK41" i="51"/>
  <c r="AK24" i="51"/>
  <c r="AK22" i="51"/>
  <c r="AK25" i="51"/>
  <c r="AK29" i="51"/>
  <c r="AK54" i="51"/>
  <c r="AK10" i="51"/>
  <c r="AK13" i="51"/>
  <c r="AJ7" i="51"/>
  <c r="BK9" i="51"/>
  <c r="T53" i="43"/>
  <c r="T53" i="41"/>
  <c r="W5" i="51" l="1"/>
  <c r="T53" i="40"/>
  <c r="J5" i="51"/>
  <c r="M33" i="51"/>
  <c r="M18" i="51"/>
  <c r="M53" i="51"/>
  <c r="M7" i="51"/>
  <c r="M43" i="51"/>
  <c r="M41" i="51"/>
  <c r="M23" i="51"/>
  <c r="M21" i="51"/>
  <c r="M8" i="51"/>
  <c r="M37" i="51"/>
  <c r="M17" i="51"/>
  <c r="M29" i="51"/>
  <c r="M36" i="51"/>
  <c r="M19" i="51"/>
  <c r="M20" i="51"/>
  <c r="M50" i="51"/>
  <c r="M15" i="51"/>
  <c r="M51" i="51"/>
  <c r="M35" i="51"/>
  <c r="M49" i="51"/>
  <c r="M31" i="51"/>
  <c r="M24" i="51"/>
  <c r="M12" i="51"/>
  <c r="M28" i="51"/>
  <c r="M14" i="51"/>
  <c r="M38" i="51"/>
  <c r="M34" i="51"/>
  <c r="M47" i="51"/>
  <c r="M44" i="51"/>
  <c r="M52" i="51"/>
  <c r="M25" i="51"/>
  <c r="M39" i="51"/>
  <c r="M42" i="51"/>
  <c r="M40" i="51"/>
  <c r="M22" i="51"/>
  <c r="M46" i="51"/>
  <c r="M45" i="51"/>
  <c r="M26" i="51"/>
  <c r="M16" i="51"/>
  <c r="M32" i="51"/>
  <c r="M11" i="51"/>
  <c r="M13" i="51"/>
  <c r="M54" i="51"/>
  <c r="L55" i="51"/>
  <c r="M30" i="51"/>
  <c r="M9" i="51"/>
  <c r="M10" i="51"/>
  <c r="M27" i="51"/>
  <c r="M48" i="51"/>
  <c r="Y49" i="51"/>
  <c r="Y38" i="51"/>
  <c r="Y18" i="51"/>
  <c r="Y14" i="51"/>
  <c r="Y15" i="51"/>
  <c r="Y21" i="51"/>
  <c r="Y26" i="51"/>
  <c r="Y37" i="51"/>
  <c r="Y40" i="51"/>
  <c r="Y42" i="51"/>
  <c r="Y22" i="51"/>
  <c r="Y52" i="51"/>
  <c r="Y44" i="51"/>
  <c r="Y48" i="51"/>
  <c r="Y16" i="51"/>
  <c r="Y12" i="51"/>
  <c r="Y54" i="51"/>
  <c r="Y41" i="51"/>
  <c r="Y39" i="51"/>
  <c r="Y24" i="51"/>
  <c r="Y30" i="51"/>
  <c r="Y47" i="51"/>
  <c r="Y53" i="51"/>
  <c r="Y29" i="51"/>
  <c r="Y27" i="51"/>
  <c r="Y50" i="51"/>
  <c r="Y19" i="51"/>
  <c r="Y35" i="51"/>
  <c r="Y45" i="51"/>
  <c r="Y23" i="51"/>
  <c r="Y31" i="51"/>
  <c r="Y17" i="51"/>
  <c r="Y46" i="51"/>
  <c r="Y28" i="51"/>
  <c r="Y9" i="51"/>
  <c r="Y33" i="51"/>
  <c r="Y25" i="51"/>
  <c r="Y8" i="51"/>
  <c r="Y10" i="51"/>
  <c r="Y34" i="51"/>
  <c r="Y51" i="51"/>
  <c r="Y20" i="51"/>
  <c r="Y43" i="51"/>
  <c r="Y36" i="51"/>
  <c r="Y13" i="51"/>
  <c r="Y11" i="51"/>
  <c r="Y32" i="51"/>
  <c r="AJ55" i="51"/>
  <c r="AK55" i="51"/>
  <c r="BJ7" i="51"/>
  <c r="BJ47" i="51"/>
  <c r="BJ51" i="51"/>
  <c r="BJ25" i="51"/>
  <c r="BJ17" i="51"/>
  <c r="BJ24" i="51"/>
  <c r="BJ10" i="51"/>
  <c r="BJ37" i="51"/>
  <c r="BJ18" i="51"/>
  <c r="BJ36" i="51"/>
  <c r="BJ22" i="51"/>
  <c r="BJ42" i="51"/>
  <c r="BJ9" i="51"/>
  <c r="BJ46" i="51"/>
  <c r="BJ15" i="51"/>
  <c r="BJ54" i="51"/>
  <c r="BJ16" i="51"/>
  <c r="BJ39" i="51"/>
  <c r="BJ30" i="51"/>
  <c r="BJ34" i="51"/>
  <c r="BJ21" i="51"/>
  <c r="BJ26" i="51"/>
  <c r="BJ28" i="51"/>
  <c r="BJ31" i="51"/>
  <c r="BJ13" i="51"/>
  <c r="BJ14" i="51"/>
  <c r="BJ8" i="51"/>
  <c r="BJ33" i="51"/>
  <c r="BJ11" i="51"/>
  <c r="BJ40" i="51"/>
  <c r="BJ29" i="51"/>
  <c r="BJ23" i="51"/>
  <c r="BJ43" i="51"/>
  <c r="BJ48" i="51"/>
  <c r="BJ20" i="51"/>
  <c r="BJ45" i="51"/>
  <c r="BJ12" i="51"/>
  <c r="BJ52" i="51"/>
  <c r="BJ38" i="51"/>
  <c r="BJ27" i="51"/>
  <c r="BJ35" i="51"/>
  <c r="BJ32" i="51"/>
  <c r="BJ44" i="51"/>
  <c r="BJ50" i="51"/>
  <c r="BJ41" i="51"/>
  <c r="BJ19" i="51"/>
  <c r="BJ53" i="51"/>
  <c r="BJ49" i="51"/>
  <c r="M55" i="51" l="1"/>
  <c r="Y55" i="51"/>
  <c r="BJ55" i="51"/>
  <c r="AW18" i="51" l="1"/>
  <c r="AW31" i="51"/>
  <c r="AW44" i="51"/>
  <c r="AW52" i="51"/>
  <c r="AW36" i="51"/>
  <c r="AW30" i="51"/>
  <c r="AW43" i="51"/>
  <c r="AW11" i="51"/>
  <c r="AW48" i="51"/>
  <c r="AW17" i="51"/>
  <c r="AW42" i="51"/>
  <c r="AW23" i="51"/>
  <c r="AW15" i="51"/>
  <c r="AW54" i="51"/>
  <c r="AW10" i="51"/>
  <c r="AW35" i="51"/>
  <c r="AW41" i="51"/>
  <c r="AW22" i="51"/>
  <c r="AW47" i="51"/>
  <c r="AW27" i="51"/>
  <c r="AW40" i="51"/>
  <c r="AW53" i="51"/>
  <c r="AW29" i="51"/>
  <c r="AW7" i="51"/>
  <c r="AW45" i="51"/>
  <c r="AW14" i="51"/>
  <c r="AW34" i="51"/>
  <c r="AW12" i="51"/>
  <c r="AW38" i="51"/>
  <c r="AW24" i="51"/>
  <c r="AW8" i="51"/>
  <c r="AW20" i="51"/>
  <c r="AW16" i="51"/>
  <c r="AW32" i="51"/>
  <c r="AW37" i="51"/>
  <c r="AW19" i="51"/>
  <c r="AW51" i="51"/>
  <c r="AW26" i="51"/>
  <c r="AW46" i="51"/>
  <c r="AW9" i="51"/>
  <c r="AW21" i="51"/>
  <c r="AW33" i="51"/>
  <c r="AW50" i="51"/>
  <c r="AW39" i="51"/>
  <c r="AW13" i="51"/>
  <c r="AW25" i="51"/>
  <c r="AW49" i="51"/>
  <c r="AW28" i="51"/>
  <c r="AW55" i="51" l="1"/>
  <c r="AV5" i="51"/>
  <c r="AU23" i="51"/>
  <c r="AV23" i="51" s="1"/>
  <c r="AU26" i="51"/>
  <c r="AV26" i="51" s="1"/>
  <c r="AU33" i="51"/>
  <c r="AV33" i="51" s="1"/>
  <c r="AU35" i="51"/>
  <c r="AV35" i="51" s="1"/>
  <c r="AU38" i="51"/>
  <c r="AV38" i="51" s="1"/>
  <c r="AU10" i="51"/>
  <c r="AV10" i="51" s="1"/>
  <c r="AU47" i="51"/>
  <c r="AV47" i="51" s="1"/>
  <c r="AU50" i="51"/>
  <c r="AV50" i="51" s="1"/>
  <c r="AU18" i="51"/>
  <c r="AV18" i="51" s="1"/>
  <c r="AU22" i="51"/>
  <c r="AV22" i="51" s="1"/>
  <c r="AU13" i="51"/>
  <c r="AV13" i="51" s="1"/>
  <c r="AU20" i="51"/>
  <c r="AV20" i="51" s="1"/>
  <c r="AU17" i="51"/>
  <c r="AV17" i="51" s="1"/>
  <c r="AU30" i="51"/>
  <c r="AV30" i="51" s="1"/>
  <c r="AU34" i="51"/>
  <c r="AV34" i="51" s="1"/>
  <c r="AU25" i="51"/>
  <c r="AV25" i="51" s="1"/>
  <c r="AU29" i="51"/>
  <c r="AV29" i="51" s="1"/>
  <c r="AU8" i="51"/>
  <c r="AV8" i="51" s="1"/>
  <c r="AU43" i="51"/>
  <c r="AV43" i="51" s="1"/>
  <c r="AU36" i="51"/>
  <c r="AV36" i="51" s="1"/>
  <c r="AU15" i="51"/>
  <c r="AV15" i="51" s="1"/>
  <c r="AU41" i="51"/>
  <c r="AV41" i="51" s="1"/>
  <c r="AU53" i="51"/>
  <c r="AV53" i="51" s="1"/>
  <c r="AU39" i="51"/>
  <c r="AV39" i="51" s="1"/>
  <c r="AU37" i="51"/>
  <c r="AV37" i="51" s="1"/>
  <c r="AU44" i="51"/>
  <c r="AV44" i="51" s="1"/>
  <c r="AU31" i="51"/>
  <c r="AV31" i="51" s="1"/>
  <c r="AU9" i="51"/>
  <c r="AV9" i="51" s="1"/>
  <c r="AU42" i="51"/>
  <c r="AV42" i="51" s="1"/>
  <c r="AU16" i="51"/>
  <c r="AV16" i="51" s="1"/>
  <c r="AU6" i="51"/>
  <c r="AV6" i="51" s="1"/>
  <c r="AU19" i="51"/>
  <c r="AV19" i="51" s="1"/>
  <c r="AU12" i="51"/>
  <c r="AV12" i="51" s="1"/>
  <c r="AU46" i="51"/>
  <c r="AV46" i="51" s="1"/>
  <c r="AU48" i="51"/>
  <c r="AV48" i="51" s="1"/>
  <c r="AU27" i="51"/>
  <c r="AV27" i="51" s="1"/>
  <c r="AU51" i="51"/>
  <c r="AV51" i="51" s="1"/>
  <c r="AU49" i="51"/>
  <c r="AV49" i="51" s="1"/>
  <c r="AU28" i="51"/>
  <c r="AV28" i="51" s="1"/>
  <c r="AU32" i="51"/>
  <c r="AV32" i="51" s="1"/>
  <c r="AU40" i="51"/>
  <c r="AV40" i="51" s="1"/>
  <c r="AU52" i="51"/>
  <c r="AV52" i="51" s="1"/>
  <c r="AU24" i="51"/>
  <c r="AV24" i="51" s="1"/>
  <c r="AU7" i="51"/>
  <c r="AV7" i="51" s="1"/>
  <c r="AU21" i="51"/>
  <c r="AV21" i="51" s="1"/>
  <c r="AU54" i="51"/>
  <c r="AV54" i="51" s="1"/>
  <c r="AU11" i="51"/>
  <c r="AV11" i="51" s="1"/>
  <c r="AU14" i="51"/>
  <c r="AV14" i="51" s="1"/>
  <c r="AU45" i="51"/>
  <c r="AV45" i="51" s="1"/>
  <c r="J3" i="39"/>
  <c r="K3" i="39" l="1"/>
  <c r="L3" i="39" s="1"/>
  <c r="M3" i="39" s="1"/>
  <c r="N3" i="39" s="1"/>
  <c r="AV55" i="51"/>
  <c r="AI39" i="51" l="1"/>
  <c r="AI52" i="51"/>
  <c r="AI29" i="51"/>
  <c r="AI28" i="51"/>
  <c r="AI32" i="51"/>
  <c r="AI9" i="51"/>
  <c r="AI42" i="51"/>
  <c r="AI33" i="51"/>
  <c r="AI46" i="51"/>
  <c r="AI38" i="51"/>
  <c r="AI50" i="51"/>
  <c r="AI41" i="51"/>
  <c r="AI8" i="51"/>
  <c r="AI16" i="51"/>
  <c r="AI36" i="51"/>
  <c r="AI49" i="51"/>
  <c r="AI6" i="51"/>
  <c r="AI44" i="51"/>
  <c r="AI11" i="51"/>
  <c r="AI34" i="51"/>
  <c r="AI25" i="51"/>
  <c r="AI54" i="51"/>
  <c r="AI48" i="51"/>
  <c r="AI51" i="51"/>
  <c r="AI22" i="51"/>
  <c r="AI35" i="51"/>
  <c r="AI17" i="51"/>
  <c r="AI7" i="51"/>
  <c r="AI37" i="51"/>
  <c r="AI10" i="51"/>
  <c r="AI47" i="51"/>
  <c r="AI23" i="51"/>
  <c r="AI45" i="51"/>
  <c r="AI20" i="51"/>
  <c r="AI19" i="51"/>
  <c r="AI18" i="51"/>
  <c r="AI14" i="51"/>
  <c r="AI40" i="51"/>
  <c r="AI26" i="51"/>
  <c r="AI27" i="51"/>
  <c r="AI30" i="51"/>
  <c r="AI31" i="51"/>
  <c r="AI21" i="51"/>
  <c r="AI43" i="51"/>
  <c r="AI13" i="51"/>
  <c r="AI53" i="51"/>
  <c r="AI12" i="51"/>
  <c r="AI24" i="51"/>
  <c r="AI15" i="51"/>
  <c r="BK47" i="51"/>
  <c r="BK49" i="51"/>
  <c r="BK51" i="51"/>
  <c r="BK21" i="51"/>
  <c r="BK33" i="51"/>
  <c r="BK12" i="51"/>
  <c r="BK14" i="51"/>
  <c r="BK16" i="51"/>
  <c r="BK18" i="51"/>
  <c r="BK45" i="51"/>
  <c r="BK24" i="51"/>
  <c r="BK26" i="51"/>
  <c r="BK28" i="51"/>
  <c r="BK30" i="51"/>
  <c r="BK36" i="51"/>
  <c r="BK38" i="51"/>
  <c r="BK10" i="51"/>
  <c r="BK40" i="51"/>
  <c r="BK42" i="51"/>
  <c r="BK8" i="51"/>
  <c r="BK48" i="51"/>
  <c r="BK50" i="51"/>
  <c r="BK52" i="51"/>
  <c r="BK54" i="51"/>
  <c r="BK46" i="51"/>
  <c r="BK20" i="51"/>
  <c r="BK32" i="51"/>
  <c r="BK17" i="51"/>
  <c r="BK7" i="51"/>
  <c r="BK44" i="51"/>
  <c r="BK11" i="51"/>
  <c r="BK13" i="51"/>
  <c r="BK15" i="51"/>
  <c r="BK29" i="51"/>
  <c r="BK19" i="51"/>
  <c r="BK34" i="51"/>
  <c r="BK23" i="51"/>
  <c r="BK25" i="51"/>
  <c r="BK27" i="51"/>
  <c r="BK41" i="51"/>
  <c r="BK31" i="51"/>
  <c r="BK35" i="51"/>
  <c r="BK22" i="51"/>
  <c r="BK37" i="51"/>
  <c r="BK39" i="51"/>
  <c r="BK53" i="51"/>
  <c r="BK43" i="51"/>
  <c r="BH19" i="51" l="1"/>
  <c r="BI19" i="51" s="1"/>
  <c r="BH29" i="51"/>
  <c r="BI29" i="51" s="1"/>
  <c r="BH31" i="51"/>
  <c r="BI31" i="51" s="1"/>
  <c r="BH23" i="51"/>
  <c r="BI23" i="51" s="1"/>
  <c r="BH35" i="51"/>
  <c r="BI35" i="51" s="1"/>
  <c r="BH39" i="51"/>
  <c r="BI39" i="51" s="1"/>
  <c r="BH7" i="51"/>
  <c r="BI7" i="51" s="1"/>
  <c r="BH43" i="51"/>
  <c r="BI43" i="51" s="1"/>
  <c r="BH47" i="51"/>
  <c r="BI47" i="51" s="1"/>
  <c r="BH33" i="51"/>
  <c r="BI33" i="51" s="1"/>
  <c r="BH9" i="51"/>
  <c r="BI9" i="51" s="1"/>
  <c r="BH15" i="51"/>
  <c r="BI15" i="51" s="1"/>
  <c r="BH27" i="51"/>
  <c r="BI27" i="51" s="1"/>
  <c r="BH51" i="51"/>
  <c r="BI51" i="51" s="1"/>
  <c r="BH17" i="51"/>
  <c r="BI17" i="51" s="1"/>
  <c r="BH21" i="51"/>
  <c r="BI21" i="51" s="1"/>
  <c r="BH37" i="51"/>
  <c r="BI37" i="51" s="1"/>
  <c r="BH41" i="51"/>
  <c r="BI41" i="51" s="1"/>
  <c r="BH11" i="51"/>
  <c r="BI11" i="51" s="1"/>
  <c r="BH45" i="51"/>
  <c r="BI45" i="51" s="1"/>
  <c r="BH25" i="51"/>
  <c r="BI25" i="51" s="1"/>
  <c r="BH13" i="51"/>
  <c r="BI13" i="51" s="1"/>
  <c r="BH49" i="51"/>
  <c r="BI49" i="51" s="1"/>
  <c r="BH53" i="51"/>
  <c r="BI53" i="51" s="1"/>
  <c r="BH5" i="51"/>
  <c r="BI5" i="51" s="1"/>
  <c r="W27" i="51"/>
  <c r="W47" i="51"/>
  <c r="W25" i="51"/>
  <c r="W19" i="51"/>
  <c r="W51" i="51"/>
  <c r="W53" i="51"/>
  <c r="W9" i="51"/>
  <c r="W11" i="51"/>
  <c r="W15" i="51"/>
  <c r="W21" i="51"/>
  <c r="W23" i="51"/>
  <c r="W49" i="51"/>
  <c r="W33" i="51"/>
  <c r="W43" i="51"/>
  <c r="W45" i="51"/>
  <c r="W39" i="51"/>
  <c r="W29" i="51"/>
  <c r="W35" i="51"/>
  <c r="W31" i="51"/>
  <c r="W7" i="51"/>
  <c r="W13" i="51"/>
  <c r="W41" i="51"/>
  <c r="W37" i="51"/>
  <c r="W17" i="51"/>
  <c r="J27" i="51"/>
  <c r="K27" i="51" s="1"/>
  <c r="J9" i="51"/>
  <c r="K9" i="51" s="1"/>
  <c r="J45" i="51"/>
  <c r="K45" i="51" s="1"/>
  <c r="K5" i="51"/>
  <c r="J17" i="51"/>
  <c r="K17" i="51" s="1"/>
  <c r="J13" i="51"/>
  <c r="K13" i="51" s="1"/>
  <c r="J37" i="51"/>
  <c r="K37" i="51" s="1"/>
  <c r="J39" i="51"/>
  <c r="K39" i="51" s="1"/>
  <c r="J49" i="51"/>
  <c r="K49" i="51" s="1"/>
  <c r="J31" i="51"/>
  <c r="K31" i="51" s="1"/>
  <c r="J47" i="51"/>
  <c r="K47" i="51" s="1"/>
  <c r="J43" i="51"/>
  <c r="K43" i="51" s="1"/>
  <c r="J23" i="51"/>
  <c r="K23" i="51" s="1"/>
  <c r="J21" i="51"/>
  <c r="K21" i="51" s="1"/>
  <c r="J33" i="51"/>
  <c r="K33" i="51" s="1"/>
  <c r="J15" i="51"/>
  <c r="K15" i="51" s="1"/>
  <c r="J19" i="51"/>
  <c r="K19" i="51" s="1"/>
  <c r="J29" i="51"/>
  <c r="K29" i="51" s="1"/>
  <c r="J7" i="51"/>
  <c r="K7" i="51" s="1"/>
  <c r="J11" i="51"/>
  <c r="K11" i="51" s="1"/>
  <c r="J53" i="51"/>
  <c r="K53" i="51" s="1"/>
  <c r="J51" i="51"/>
  <c r="K51" i="51" s="1"/>
  <c r="J25" i="51"/>
  <c r="K25" i="51" s="1"/>
  <c r="J41" i="51"/>
  <c r="K41" i="51" s="1"/>
  <c r="J35" i="51"/>
  <c r="K35" i="51" s="1"/>
  <c r="AI5" i="51"/>
  <c r="W20" i="51"/>
  <c r="W14" i="51"/>
  <c r="W52" i="51"/>
  <c r="W50" i="51"/>
  <c r="W36" i="51"/>
  <c r="W54" i="51"/>
  <c r="W42" i="51"/>
  <c r="W38" i="51"/>
  <c r="W16" i="51"/>
  <c r="W18" i="51"/>
  <c r="W34" i="51"/>
  <c r="W30" i="51"/>
  <c r="W8" i="51"/>
  <c r="W10" i="51"/>
  <c r="W46" i="51"/>
  <c r="W28" i="51"/>
  <c r="W12" i="51"/>
  <c r="W6" i="51"/>
  <c r="W26" i="51"/>
  <c r="W44" i="51"/>
  <c r="W22" i="51"/>
  <c r="W40" i="51"/>
  <c r="W24" i="51"/>
  <c r="W48" i="51"/>
  <c r="W32" i="51"/>
  <c r="J52" i="51"/>
  <c r="K52" i="51" s="1"/>
  <c r="J30" i="51"/>
  <c r="K30" i="51" s="1"/>
  <c r="J22" i="51"/>
  <c r="K22" i="51" s="1"/>
  <c r="J38" i="51"/>
  <c r="K38" i="51" s="1"/>
  <c r="J20" i="51"/>
  <c r="K20" i="51" s="1"/>
  <c r="J44" i="51"/>
  <c r="K44" i="51" s="1"/>
  <c r="J16" i="51"/>
  <c r="K16" i="51" s="1"/>
  <c r="J36" i="51"/>
  <c r="K36" i="51" s="1"/>
  <c r="J54" i="51"/>
  <c r="K54" i="51" s="1"/>
  <c r="J10" i="51"/>
  <c r="K10" i="51" s="1"/>
  <c r="J6" i="51"/>
  <c r="K6" i="51" s="1"/>
  <c r="J48" i="51"/>
  <c r="K48" i="51" s="1"/>
  <c r="J26" i="51"/>
  <c r="K26" i="51" s="1"/>
  <c r="J46" i="51"/>
  <c r="K46" i="51" s="1"/>
  <c r="J24" i="51"/>
  <c r="K24" i="51" s="1"/>
  <c r="J18" i="51"/>
  <c r="K18" i="51" s="1"/>
  <c r="J34" i="51"/>
  <c r="K34" i="51" s="1"/>
  <c r="J12" i="51"/>
  <c r="K12" i="51" s="1"/>
  <c r="J40" i="51"/>
  <c r="K40" i="51" s="1"/>
  <c r="J14" i="51"/>
  <c r="K14" i="51" s="1"/>
  <c r="J32" i="51"/>
  <c r="K32" i="51" s="1"/>
  <c r="J42" i="51"/>
  <c r="K42" i="51" s="1"/>
  <c r="J50" i="51"/>
  <c r="K50" i="51" s="1"/>
  <c r="J8" i="51"/>
  <c r="K8" i="51" s="1"/>
  <c r="J28" i="51"/>
  <c r="K28" i="51" s="1"/>
  <c r="BH50" i="51"/>
  <c r="BI50" i="51" s="1"/>
  <c r="BH10" i="51"/>
  <c r="BI10" i="51" s="1"/>
  <c r="BH44" i="51"/>
  <c r="BI44" i="51" s="1"/>
  <c r="BH24" i="51"/>
  <c r="BI24" i="51" s="1"/>
  <c r="BH32" i="51"/>
  <c r="BI32" i="51" s="1"/>
  <c r="BH18" i="51"/>
  <c r="BI18" i="51" s="1"/>
  <c r="BH36" i="51"/>
  <c r="BI36" i="51" s="1"/>
  <c r="BH12" i="51"/>
  <c r="BI12" i="51" s="1"/>
  <c r="BH20" i="51"/>
  <c r="BI20" i="51" s="1"/>
  <c r="BH16" i="51"/>
  <c r="BI16" i="51" s="1"/>
  <c r="BH46" i="51"/>
  <c r="BI46" i="51" s="1"/>
  <c r="BH28" i="51"/>
  <c r="BI28" i="51" s="1"/>
  <c r="BH48" i="51"/>
  <c r="BI48" i="51" s="1"/>
  <c r="BH26" i="51"/>
  <c r="BI26" i="51" s="1"/>
  <c r="BH6" i="51"/>
  <c r="BI6" i="51" s="1"/>
  <c r="BH42" i="51"/>
  <c r="BI42" i="51" s="1"/>
  <c r="BH30" i="51"/>
  <c r="BI30" i="51" s="1"/>
  <c r="BH38" i="51"/>
  <c r="BI38" i="51" s="1"/>
  <c r="BH52" i="51"/>
  <c r="BI52" i="51" s="1"/>
  <c r="BH34" i="51"/>
  <c r="BI34" i="51" s="1"/>
  <c r="BH8" i="51"/>
  <c r="BI8" i="51" s="1"/>
  <c r="BH40" i="51"/>
  <c r="BI40" i="51" s="1"/>
  <c r="BH54" i="51"/>
  <c r="BI54" i="51" s="1"/>
  <c r="BH14" i="51"/>
  <c r="BI14" i="51" s="1"/>
  <c r="BH22" i="51"/>
  <c r="BI22" i="51" s="1"/>
  <c r="BK55" i="51"/>
  <c r="BI55" i="51" l="1"/>
  <c r="X55" i="51"/>
  <c r="K55" i="5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<sst xmlns="http://schemas.openxmlformats.org/spreadsheetml/2006/main" count="553" uniqueCount="66">
  <si>
    <t>SR.NO.</t>
  </si>
  <si>
    <t>WITHIN CITY</t>
  </si>
  <si>
    <t>WITHIN STATE</t>
  </si>
  <si>
    <t>WITHIN ZONE</t>
  </si>
  <si>
    <t>REST OF INDIA</t>
  </si>
  <si>
    <t>WEIGHT SLAB</t>
  </si>
  <si>
    <t>COURIER</t>
  </si>
  <si>
    <t>SPECIAL DESTINATION</t>
  </si>
  <si>
    <t>METRO TO METRO</t>
  </si>
  <si>
    <t>VOLUMETRIC WEIGHT</t>
  </si>
  <si>
    <t>L</t>
  </si>
  <si>
    <t>B</t>
  </si>
  <si>
    <t>H</t>
  </si>
  <si>
    <t>DESTINATION</t>
  </si>
  <si>
    <t>BILLABLE WEIGHT</t>
  </si>
  <si>
    <t>VOL. WEIGHT</t>
  </si>
  <si>
    <t>FREIGHT RATES</t>
  </si>
  <si>
    <t>FUEL SURCHARGE</t>
  </si>
  <si>
    <t>TOTAL COST</t>
  </si>
  <si>
    <t>LANDED COST</t>
  </si>
  <si>
    <t>GST 18% EXTRA</t>
  </si>
  <si>
    <t>ACTUAL WEIGHT SLAB IN KG</t>
  </si>
  <si>
    <t>KGS</t>
  </si>
  <si>
    <t>PROFESSIONAL PER KG</t>
  </si>
  <si>
    <t>ANJANI COURIERS PER KG</t>
  </si>
  <si>
    <t>ITHINK LOGISTICS EKART</t>
  </si>
  <si>
    <t>ITHINK LOGISTICS SHADOWFAX</t>
  </si>
  <si>
    <t>ITHINK LOGISTICS AMAZON</t>
  </si>
  <si>
    <t>ITHINK LOGISTICS DTDC</t>
  </si>
  <si>
    <t>ITHINK LOGISTICS XPRESSBEES</t>
  </si>
  <si>
    <t xml:space="preserve">ITHINK LOGISTICS BLUEDART </t>
  </si>
  <si>
    <t xml:space="preserve">ITHINK LOGISTICS DELHIVERY </t>
  </si>
  <si>
    <t>FWD ADDN 0.5KG</t>
  </si>
  <si>
    <t>DIFFERENCE</t>
  </si>
  <si>
    <t>PROFESSIONAL COURIER SERVICE</t>
  </si>
  <si>
    <t>ANJANI COURIER SERVICE</t>
  </si>
  <si>
    <t>LOWEST COST</t>
  </si>
  <si>
    <t>HIGHEST COST</t>
  </si>
  <si>
    <t>CHEAPEST COURIER</t>
  </si>
  <si>
    <t>EXPENSIVE COURIER</t>
  </si>
  <si>
    <t>FUEL %</t>
  </si>
  <si>
    <t>SHREE MARUTI COURIER SERVICE</t>
  </si>
  <si>
    <t>DTDC PER KG</t>
  </si>
  <si>
    <t>SHREE MARUTI COURIER SERVICE PER KG</t>
  </si>
  <si>
    <t>DTDC</t>
  </si>
  <si>
    <t>ITHINK LOGISTIC SHADOWFAX</t>
  </si>
  <si>
    <t>DIFF.</t>
  </si>
  <si>
    <t>%DIFF.</t>
  </si>
  <si>
    <t>DOMESTIC COURIER CHARGE</t>
  </si>
  <si>
    <t>NON-DOCUMENT CHARGE BY SURFACE</t>
  </si>
  <si>
    <t xml:space="preserve">TOTAL COST </t>
  </si>
  <si>
    <t>AVERAGE DIFFERENCE %</t>
  </si>
  <si>
    <t>DOCUMENT CHARGE BY SURFACE</t>
  </si>
  <si>
    <t>%DIFF. PROFESS VS SHREE MARUTI</t>
  </si>
  <si>
    <t>%DIFF DTDC VS SHREE MARUTI</t>
  </si>
  <si>
    <t>%DIFF DTDC VS SHREE MARUTI.</t>
  </si>
  <si>
    <t>%DIFF.DTDC VS SHREE MARUTI</t>
  </si>
  <si>
    <t>%DIFF. SHREE MARUTI VS PROFF</t>
  </si>
  <si>
    <t>ITHINK SHADOWFAX</t>
  </si>
  <si>
    <t>%DIFF DTDC VS ITHINK SHADOWFAX</t>
  </si>
  <si>
    <t>%DIFF.DTDC VS ITHINK</t>
  </si>
  <si>
    <t>ITHINK</t>
  </si>
  <si>
    <t>%DIFF DTDC VS ITHINK</t>
  </si>
  <si>
    <t>DTDC VS ITHINK</t>
  </si>
  <si>
    <t>DTDC PREV</t>
  </si>
  <si>
    <t>DTDC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</si>
</sst>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9">
    <xf numFmtId="0" fontId="0" fillId="0" borderId="0" xfId="0"/>
    <xf numFmtId="0" fontId="0" fillId="0" borderId="0" xfId="0" applyAlignment="1">
      <alignment wrapText="1"/>
    </xf>
    <xf numFmtId="0" fontId="0" fillId="0" borderId="6" xfId="0" applyBorder="1"/>
    <xf numFmtId="0" fontId="0" fillId="0" borderId="12" xfId="0" applyBorder="1"/>
    <xf numFmtId="0" fontId="0" fillId="0" borderId="10" xfId="0" applyBorder="1"/>
    <xf numFmtId="0" fontId="0" fillId="0" borderId="9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 vertical="center"/>
    </xf>
    <xf numFmtId="9" fontId="0" fillId="0" borderId="0" xfId="0" applyNumberFormat="1"/>
    <xf numFmtId="2" fontId="0" fillId="0" borderId="0" xfId="0" applyNumberFormat="1"/>
    <xf numFmtId="2" fontId="0" fillId="0" borderId="6" xfId="0" applyNumberFormat="1" applyBorder="1"/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4" borderId="6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vertical="center"/>
    </xf>
    <xf numFmtId="2" fontId="1" fillId="4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1" fontId="1" fillId="4" borderId="0" xfId="0" applyNumberFormat="1" applyFont="1" applyFill="1" applyAlignment="1">
      <alignment horizontal="center" vertical="center"/>
    </xf>
    <xf numFmtId="2" fontId="1" fillId="4" borderId="11" xfId="0" applyNumberFormat="1" applyFont="1" applyFill="1" applyBorder="1" applyAlignment="1">
      <alignment horizontal="center" vertical="center"/>
    </xf>
    <xf numFmtId="1" fontId="1" fillId="4" borderId="11" xfId="0" applyNumberFormat="1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10" xfId="0" applyFont="1" applyBorder="1"/>
    <xf numFmtId="9" fontId="0" fillId="0" borderId="12" xfId="0" applyNumberFormat="1" applyBorder="1"/>
    <xf numFmtId="9" fontId="0" fillId="0" borderId="15" xfId="0" applyNumberFormat="1" applyBorder="1"/>
    <xf numFmtId="0" fontId="1" fillId="0" borderId="11" xfId="0" applyFont="1" applyBorder="1"/>
    <xf numFmtId="9" fontId="1" fillId="0" borderId="12" xfId="0" applyNumberFormat="1" applyFont="1" applyBorder="1"/>
    <xf numFmtId="0" fontId="1" fillId="0" borderId="26" xfId="0" applyFont="1" applyBorder="1"/>
    <xf numFmtId="9" fontId="1" fillId="0" borderId="27" xfId="0" applyNumberFormat="1" applyFont="1" applyBorder="1"/>
    <xf numFmtId="2" fontId="0" fillId="0" borderId="14" xfId="0" applyNumberFormat="1" applyBorder="1"/>
    <xf numFmtId="0" fontId="1" fillId="6" borderId="6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5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 wrapText="1"/>
    </xf>
    <xf numFmtId="2" fontId="0" fillId="0" borderId="7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0" fillId="0" borderId="11" xfId="0" applyNumberFormat="1" applyBorder="1" applyAlignment="1">
      <alignment vertical="top"/>
    </xf>
    <xf numFmtId="4" fontId="0" fillId="0" borderId="6" xfId="0" applyNumberFormat="1" applyBorder="1"/>
    <xf numFmtId="9" fontId="0" fillId="0" borderId="6" xfId="1" applyFont="1" applyBorder="1"/>
    <xf numFmtId="0" fontId="1" fillId="10" borderId="24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right" shrinkToFit="1"/>
    </xf>
    <xf numFmtId="0" fontId="1" fillId="10" borderId="30" xfId="0" applyFont="1" applyFill="1" applyBorder="1" applyAlignment="1">
      <alignment vertical="center"/>
    </xf>
    <xf numFmtId="3" fontId="1" fillId="10" borderId="24" xfId="0" applyNumberFormat="1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right" shrinkToFit="1"/>
    </xf>
    <xf numFmtId="1" fontId="0" fillId="0" borderId="8" xfId="0" applyNumberFormat="1" applyBorder="1" applyAlignment="1">
      <alignment vertical="top"/>
    </xf>
    <xf numFmtId="2" fontId="3" fillId="0" borderId="9" xfId="0" applyNumberFormat="1" applyFont="1" applyBorder="1" applyAlignment="1">
      <alignment horizontal="right" shrinkToFit="1"/>
    </xf>
    <xf numFmtId="2" fontId="4" fillId="0" borderId="9" xfId="0" applyNumberFormat="1" applyFont="1" applyBorder="1" applyAlignment="1">
      <alignment horizontal="right" shrinkToFit="1"/>
    </xf>
    <xf numFmtId="4" fontId="0" fillId="0" borderId="9" xfId="0" applyNumberFormat="1" applyBorder="1"/>
    <xf numFmtId="9" fontId="0" fillId="0" borderId="9" xfId="1" applyFont="1" applyBorder="1"/>
    <xf numFmtId="0" fontId="0" fillId="0" borderId="13" xfId="0" applyBorder="1"/>
    <xf numFmtId="2" fontId="1" fillId="0" borderId="9" xfId="0" applyNumberFormat="1" applyFont="1" applyBorder="1"/>
    <xf numFmtId="2" fontId="5" fillId="0" borderId="6" xfId="0" applyNumberFormat="1" applyFont="1" applyBorder="1" applyAlignment="1">
      <alignment horizontal="center" vertical="center" wrapText="1" readingOrder="1"/>
    </xf>
    <xf numFmtId="2" fontId="6" fillId="0" borderId="6" xfId="0" applyNumberFormat="1" applyFont="1" applyBorder="1" applyAlignment="1">
      <alignment horizontal="center" vertical="center" wrapText="1" readingOrder="1"/>
    </xf>
    <xf numFmtId="2" fontId="1" fillId="0" borderId="6" xfId="0" applyNumberFormat="1" applyFont="1" applyBorder="1"/>
    <xf numFmtId="2" fontId="0" fillId="0" borderId="9" xfId="0" applyNumberFormat="1" applyBorder="1" applyAlignment="1">
      <alignment horizontal="center"/>
    </xf>
    <xf numFmtId="2" fontId="3" fillId="0" borderId="6" xfId="0" applyNumberFormat="1" applyFont="1" applyBorder="1" applyAlignment="1">
      <alignment horizontal="center" shrinkToFit="1"/>
    </xf>
    <xf numFmtId="2" fontId="4" fillId="0" borderId="6" xfId="0" applyNumberFormat="1" applyFont="1" applyBorder="1" applyAlignment="1">
      <alignment horizontal="center" shrinkToFit="1"/>
    </xf>
    <xf numFmtId="2" fontId="1" fillId="0" borderId="6" xfId="0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1" fillId="0" borderId="5" xfId="0" applyNumberFormat="1" applyFont="1" applyBorder="1"/>
    <xf numFmtId="9" fontId="0" fillId="0" borderId="14" xfId="1" applyFont="1" applyBorder="1"/>
    <xf numFmtId="9" fontId="0" fillId="0" borderId="10" xfId="1" applyFont="1" applyBorder="1"/>
    <xf numFmtId="3" fontId="0" fillId="0" borderId="6" xfId="0" applyNumberFormat="1" applyBorder="1"/>
    <xf numFmtId="2" fontId="0" fillId="0" borderId="6" xfId="1" applyNumberFormat="1" applyFont="1" applyBorder="1"/>
    <xf numFmtId="3" fontId="0" fillId="0" borderId="9" xfId="0" applyNumberFormat="1" applyBorder="1"/>
    <xf numFmtId="2" fontId="0" fillId="0" borderId="9" xfId="1" applyNumberFormat="1" applyFont="1" applyBorder="1"/>
    <xf numFmtId="2" fontId="3" fillId="0" borderId="14" xfId="0" applyNumberFormat="1" applyFont="1" applyBorder="1" applyAlignment="1">
      <alignment horizontal="right" shrinkToFit="1"/>
    </xf>
    <xf numFmtId="3" fontId="0" fillId="0" borderId="14" xfId="0" applyNumberFormat="1" applyBorder="1"/>
    <xf numFmtId="2" fontId="0" fillId="0" borderId="14" xfId="1" applyNumberFormat="1" applyFont="1" applyBorder="1"/>
    <xf numFmtId="2" fontId="4" fillId="0" borderId="14" xfId="0" applyNumberFormat="1" applyFont="1" applyBorder="1" applyAlignment="1">
      <alignment horizontal="right" shrinkToFit="1"/>
    </xf>
    <xf numFmtId="2" fontId="1" fillId="0" borderId="9" xfId="1" applyNumberFormat="1" applyFont="1" applyBorder="1"/>
    <xf numFmtId="2" fontId="1" fillId="0" borderId="6" xfId="1" applyNumberFormat="1" applyFont="1" applyBorder="1"/>
    <xf numFmtId="2" fontId="1" fillId="0" borderId="14" xfId="1" applyNumberFormat="1" applyFont="1" applyBorder="1"/>
    <xf numFmtId="4" fontId="1" fillId="0" borderId="9" xfId="0" applyNumberFormat="1" applyFont="1" applyBorder="1"/>
    <xf numFmtId="4" fontId="1" fillId="0" borderId="6" xfId="0" applyNumberFormat="1" applyFont="1" applyBorder="1"/>
    <xf numFmtId="4" fontId="1" fillId="0" borderId="14" xfId="0" applyNumberFormat="1" applyFont="1" applyBorder="1"/>
    <xf numFmtId="4" fontId="0" fillId="0" borderId="14" xfId="0" applyNumberFormat="1" applyBorder="1"/>
    <xf numFmtId="9" fontId="1" fillId="0" borderId="0" xfId="0" applyNumberFormat="1" applyFont="1"/>
    <xf numFmtId="9" fontId="1" fillId="0" borderId="23" xfId="0" applyNumberFormat="1" applyFont="1" applyBorder="1"/>
    <xf numFmtId="9" fontId="0" fillId="0" borderId="12" xfId="1" applyFont="1" applyBorder="1"/>
    <xf numFmtId="2" fontId="5" fillId="0" borderId="7" xfId="0" applyNumberFormat="1" applyFont="1" applyBorder="1" applyAlignment="1">
      <alignment horizontal="center" vertical="center" wrapText="1" readingOrder="1"/>
    </xf>
    <xf numFmtId="2" fontId="6" fillId="0" borderId="7" xfId="0" applyNumberFormat="1" applyFont="1" applyBorder="1" applyAlignment="1">
      <alignment horizontal="center" vertical="center" wrapText="1" readingOrder="1"/>
    </xf>
    <xf numFmtId="2" fontId="0" fillId="0" borderId="7" xfId="0" applyNumberFormat="1" applyBorder="1" applyAlignment="1">
      <alignment horizontal="center"/>
    </xf>
    <xf numFmtId="9" fontId="0" fillId="0" borderId="7" xfId="1" applyFont="1" applyBorder="1"/>
    <xf numFmtId="10" fontId="0" fillId="0" borderId="6" xfId="0" applyNumberFormat="1" applyBorder="1"/>
    <xf numFmtId="10" fontId="0" fillId="0" borderId="12" xfId="0" applyNumberFormat="1" applyBorder="1"/>
    <xf numFmtId="1" fontId="1" fillId="4" borderId="16" xfId="0" applyNumberFormat="1" applyFont="1" applyFill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 shrinkToFit="1"/>
    </xf>
    <xf numFmtId="2" fontId="4" fillId="0" borderId="6" xfId="0" applyNumberFormat="1" applyFont="1" applyBorder="1" applyAlignment="1">
      <alignment horizontal="center" vertical="center" shrinkToFit="1"/>
    </xf>
    <xf numFmtId="2" fontId="4" fillId="0" borderId="14" xfId="0" applyNumberFormat="1" applyFont="1" applyBorder="1" applyAlignment="1">
      <alignment horizontal="center" vertical="center" shrinkToFit="1"/>
    </xf>
    <xf numFmtId="0" fontId="1" fillId="5" borderId="30" xfId="0" applyFont="1" applyFill="1" applyBorder="1" applyAlignment="1">
      <alignment vertical="center"/>
    </xf>
    <xf numFmtId="0" fontId="1" fillId="5" borderId="24" xfId="0" applyFont="1" applyFill="1" applyBorder="1" applyAlignment="1">
      <alignment vertical="center"/>
    </xf>
    <xf numFmtId="0" fontId="1" fillId="5" borderId="25" xfId="0" applyFont="1" applyFill="1" applyBorder="1" applyAlignment="1">
      <alignment vertical="center" wrapText="1"/>
    </xf>
    <xf numFmtId="2" fontId="0" fillId="0" borderId="6" xfId="0" applyNumberFormat="1" applyBorder="1" applyAlignment="1">
      <alignment wrapText="1"/>
    </xf>
    <xf numFmtId="1" fontId="0" fillId="0" borderId="28" xfId="0" applyNumberFormat="1" applyBorder="1" applyAlignment="1">
      <alignment vertical="top"/>
    </xf>
    <xf numFmtId="1" fontId="1" fillId="4" borderId="7" xfId="0" applyNumberFormat="1" applyFont="1" applyFill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shrinkToFit="1"/>
    </xf>
    <xf numFmtId="2" fontId="4" fillId="0" borderId="7" xfId="0" applyNumberFormat="1" applyFont="1" applyBorder="1" applyAlignment="1">
      <alignment horizontal="center" shrinkToFit="1"/>
    </xf>
    <xf numFmtId="2" fontId="1" fillId="0" borderId="7" xfId="0" applyNumberFormat="1" applyFont="1" applyBorder="1" applyAlignment="1">
      <alignment horizontal="center"/>
    </xf>
    <xf numFmtId="10" fontId="0" fillId="0" borderId="7" xfId="0" applyNumberFormat="1" applyBorder="1"/>
    <xf numFmtId="10" fontId="0" fillId="0" borderId="29" xfId="0" applyNumberFormat="1" applyBorder="1"/>
    <xf numFmtId="0" fontId="1" fillId="10" borderId="5" xfId="0" applyFont="1" applyFill="1" applyBorder="1" applyAlignment="1">
      <alignment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 wrapText="1"/>
    </xf>
    <xf numFmtId="3" fontId="1" fillId="10" borderId="5" xfId="0" applyNumberFormat="1" applyFont="1" applyFill="1" applyBorder="1" applyAlignment="1">
      <alignment horizontal="center" vertical="center" wrapText="1"/>
    </xf>
    <xf numFmtId="10" fontId="0" fillId="0" borderId="27" xfId="0" applyNumberFormat="1" applyBorder="1"/>
    <xf numFmtId="1" fontId="1" fillId="4" borderId="8" xfId="0" applyNumberFormat="1" applyFont="1" applyFill="1" applyBorder="1" applyAlignment="1">
      <alignment horizontal="center" vertical="center"/>
    </xf>
    <xf numFmtId="1" fontId="1" fillId="4" borderId="13" xfId="0" applyNumberFormat="1" applyFont="1" applyFill="1" applyBorder="1" applyAlignment="1">
      <alignment horizontal="center" vertical="center"/>
    </xf>
    <xf numFmtId="2" fontId="1" fillId="0" borderId="14" xfId="0" applyNumberFormat="1" applyFont="1" applyBorder="1"/>
    <xf numFmtId="9" fontId="0" fillId="0" borderId="15" xfId="1" applyFont="1" applyBorder="1"/>
    <xf numFmtId="0" fontId="1" fillId="10" borderId="21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 wrapText="1"/>
    </xf>
    <xf numFmtId="3" fontId="1" fillId="10" borderId="21" xfId="0" applyNumberFormat="1" applyFont="1" applyFill="1" applyBorder="1" applyAlignment="1">
      <alignment horizontal="center" vertical="center" wrapText="1"/>
    </xf>
    <xf numFmtId="9" fontId="1" fillId="0" borderId="18" xfId="0" applyNumberFormat="1" applyFont="1" applyBorder="1"/>
    <xf numFmtId="9" fontId="0" fillId="0" borderId="16" xfId="1" applyFont="1" applyBorder="1"/>
    <xf numFmtId="0" fontId="1" fillId="0" borderId="6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9" fontId="1" fillId="8" borderId="5" xfId="0" applyNumberFormat="1" applyFont="1" applyFill="1" applyBorder="1"/>
    <xf numFmtId="0" fontId="1" fillId="8" borderId="5" xfId="0" applyFont="1" applyFill="1" applyBorder="1" applyAlignment="1">
      <alignment horizontal="center" vertical="center" wrapText="1"/>
    </xf>
    <xf numFmtId="10" fontId="1" fillId="0" borderId="12" xfId="0" applyNumberFormat="1" applyFont="1" applyBorder="1"/>
    <xf numFmtId="9" fontId="1" fillId="0" borderId="12" xfId="1" applyFont="1" applyBorder="1"/>
    <xf numFmtId="9" fontId="1" fillId="8" borderId="23" xfId="0" applyNumberFormat="1" applyFont="1" applyFill="1" applyBorder="1"/>
    <xf numFmtId="9" fontId="1" fillId="0" borderId="27" xfId="1" applyFont="1" applyBorder="1"/>
    <xf numFmtId="0" fontId="1" fillId="8" borderId="21" xfId="0" applyFont="1" applyFill="1" applyBorder="1" applyAlignment="1">
      <alignment horizontal="center" vertical="center" wrapText="1"/>
    </xf>
    <xf numFmtId="9" fontId="1" fillId="0" borderId="6" xfId="1" applyFont="1" applyBorder="1"/>
    <xf numFmtId="9" fontId="1" fillId="0" borderId="14" xfId="1" applyFont="1" applyBorder="1"/>
    <xf numFmtId="9" fontId="1" fillId="0" borderId="15" xfId="1" applyFont="1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1" fillId="4" borderId="14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1" fillId="4" borderId="7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8" borderId="7" xfId="0" applyNumberFormat="1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vertical="center"/>
    </xf>
    <xf numFmtId="0" fontId="1" fillId="8" borderId="7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1" borderId="21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11" borderId="31" xfId="0" applyFont="1" applyFill="1" applyBorder="1" applyAlignment="1">
      <alignment vertical="center" wrapText="1"/>
    </xf>
    <xf numFmtId="2" fontId="3" fillId="0" borderId="7" xfId="0" applyNumberFormat="1" applyFont="1" applyBorder="1" applyAlignment="1">
      <alignment horizontal="center" vertical="center" wrapText="1" readingOrder="1"/>
    </xf>
    <xf numFmtId="2" fontId="3" fillId="0" borderId="6" xfId="0" applyNumberFormat="1" applyFont="1" applyBorder="1" applyAlignment="1">
      <alignment horizontal="center" vertical="center" wrapText="1" readingOrder="1"/>
    </xf>
    <xf numFmtId="1" fontId="0" fillId="0" borderId="26" xfId="0" applyNumberFormat="1" applyBorder="1" applyAlignment="1">
      <alignment vertical="top"/>
    </xf>
    <xf numFmtId="2" fontId="3" fillId="0" borderId="16" xfId="0" applyNumberFormat="1" applyFont="1" applyBorder="1" applyAlignment="1">
      <alignment horizontal="center" shrinkToFit="1"/>
    </xf>
    <xf numFmtId="2" fontId="4" fillId="0" borderId="16" xfId="0" applyNumberFormat="1" applyFont="1" applyBorder="1" applyAlignment="1">
      <alignment horizontal="center" shrinkToFit="1"/>
    </xf>
    <xf numFmtId="2" fontId="5" fillId="0" borderId="16" xfId="0" applyNumberFormat="1" applyFont="1" applyBorder="1" applyAlignment="1">
      <alignment horizontal="center" vertical="center" wrapText="1" readingOrder="1"/>
    </xf>
    <xf numFmtId="2" fontId="6" fillId="0" borderId="16" xfId="0" applyNumberFormat="1" applyFont="1" applyBorder="1" applyAlignment="1">
      <alignment horizontal="center" vertical="center" wrapText="1" readingOrder="1"/>
    </xf>
    <xf numFmtId="2" fontId="3" fillId="0" borderId="16" xfId="0" applyNumberFormat="1" applyFont="1" applyBorder="1" applyAlignment="1">
      <alignment horizontal="center" vertical="center" wrapText="1" readingOrder="1"/>
    </xf>
    <xf numFmtId="2" fontId="1" fillId="0" borderId="16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3" fillId="0" borderId="9" xfId="0" applyNumberFormat="1" applyFont="1" applyBorder="1" applyAlignment="1">
      <alignment horizontal="center" vertical="center" wrapText="1" readingOrder="1"/>
    </xf>
    <xf numFmtId="2" fontId="4" fillId="0" borderId="9" xfId="0" applyNumberFormat="1" applyFont="1" applyBorder="1" applyAlignment="1">
      <alignment horizontal="center" vertical="center" wrapText="1" readingOrder="1"/>
    </xf>
    <xf numFmtId="2" fontId="4" fillId="0" borderId="6" xfId="0" applyNumberFormat="1" applyFont="1" applyBorder="1" applyAlignment="1">
      <alignment horizontal="center" vertical="center" wrapText="1" readingOrder="1"/>
    </xf>
    <xf numFmtId="2" fontId="3" fillId="0" borderId="14" xfId="0" applyNumberFormat="1" applyFont="1" applyBorder="1" applyAlignment="1">
      <alignment horizontal="center" vertical="center" wrapText="1" readingOrder="1"/>
    </xf>
    <xf numFmtId="2" fontId="4" fillId="0" borderId="14" xfId="0" applyNumberFormat="1" applyFont="1" applyBorder="1" applyAlignment="1">
      <alignment horizontal="center" vertical="center" wrapText="1" readingOrder="1"/>
    </xf>
    <xf numFmtId="0" fontId="1" fillId="0" borderId="0" xfId="0" applyFont="1"/>
    <xf numFmtId="9" fontId="0" fillId="0" borderId="0" xfId="1" applyFont="1" applyFill="1" applyBorder="1"/>
    <xf numFmtId="0" fontId="1" fillId="10" borderId="30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shrinkToFit="1"/>
    </xf>
    <xf numFmtId="2" fontId="4" fillId="0" borderId="11" xfId="0" applyNumberFormat="1" applyFont="1" applyBorder="1" applyAlignment="1">
      <alignment horizontal="center" vertical="center" shrinkToFit="1"/>
    </xf>
    <xf numFmtId="2" fontId="4" fillId="0" borderId="13" xfId="0" applyNumberFormat="1" applyFont="1" applyBorder="1" applyAlignment="1">
      <alignment horizontal="center" vertical="center" shrinkToFit="1"/>
    </xf>
    <xf numFmtId="0" fontId="1" fillId="9" borderId="2" xfId="0" applyFont="1" applyFill="1" applyBorder="1"/>
    <xf numFmtId="0" fontId="1" fillId="9" borderId="3" xfId="0" applyFont="1" applyFill="1" applyBorder="1"/>
    <xf numFmtId="0" fontId="1" fillId="10" borderId="21" xfId="0" applyFont="1" applyFill="1" applyBorder="1" applyAlignment="1">
      <alignment vertical="center"/>
    </xf>
    <xf numFmtId="1" fontId="1" fillId="4" borderId="9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vertical="top"/>
    </xf>
    <xf numFmtId="9" fontId="1" fillId="5" borderId="23" xfId="0" applyNumberFormat="1" applyFont="1" applyFill="1" applyBorder="1"/>
    <xf numFmtId="0" fontId="0" fillId="0" borderId="8" xfId="0" applyBorder="1"/>
    <xf numFmtId="0" fontId="0" fillId="0" borderId="11" xfId="0" applyBorder="1"/>
    <xf numFmtId="0" fontId="1" fillId="10" borderId="4" xfId="0" applyFont="1" applyFill="1" applyBorder="1" applyAlignment="1">
      <alignment horizontal="center" vertical="center"/>
    </xf>
    <xf numFmtId="9" fontId="1" fillId="0" borderId="15" xfId="0" applyNumberFormat="1" applyFont="1" applyBorder="1"/>
    <xf numFmtId="2" fontId="1" fillId="4" borderId="14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 vertical="center" wrapText="1"/>
    </xf>
    <xf numFmtId="0" fontId="1" fillId="11" borderId="32" xfId="0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wrapText="1"/>
    </xf>
    <xf numFmtId="1" fontId="1" fillId="11" borderId="31" xfId="0" applyNumberFormat="1" applyFont="1" applyFill="1" applyBorder="1" applyAlignment="1">
      <alignment horizontal="center" vertical="center" wrapText="1"/>
    </xf>
    <xf numFmtId="1" fontId="1" fillId="11" borderId="32" xfId="0" applyNumberFormat="1" applyFont="1" applyFill="1" applyBorder="1" applyAlignment="1">
      <alignment horizontal="center" vertical="center" wrapText="1"/>
    </xf>
    <xf numFmtId="1" fontId="1" fillId="11" borderId="35" xfId="0" applyNumberFormat="1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11" borderId="36" xfId="0" applyFont="1" applyFill="1" applyBorder="1" applyAlignment="1">
      <alignment horizontal="center" vertical="center" wrapText="1"/>
    </xf>
    <xf numFmtId="0" fontId="1" fillId="11" borderId="37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1" fontId="1" fillId="11" borderId="33" xfId="0" applyNumberFormat="1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B73D-656D-4125-8941-E0E2B534B92C}">
  <dimension ref="A1:N11"/>
  <sheetViews>
    <sheetView workbookViewId="0">
      <selection activeCell="A3" sqref="A3"/>
    </sheetView>
  </sheetViews>
  <sheetFormatPr defaultRowHeight="14.4" x14ac:dyDescent="0.3"/>
  <cols>
    <col min="1" max="1" width="29.77734375" bestFit="1" customWidth="1"/>
    <col min="6" max="6" width="12.109375" bestFit="1" customWidth="1"/>
    <col min="8" max="8" width="20.109375" bestFit="1" customWidth="1"/>
    <col min="13" max="13" width="9" customWidth="1"/>
  </cols>
  <sheetData>
    <row r="1" spans="1:14" ht="43.2" customHeight="1" x14ac:dyDescent="0.3">
      <c r="A1" s="216" t="s">
        <v>6</v>
      </c>
      <c r="B1" s="214" t="s">
        <v>21</v>
      </c>
      <c r="C1" s="212" t="s">
        <v>9</v>
      </c>
      <c r="D1" s="212"/>
      <c r="E1" s="212"/>
      <c r="F1" s="212" t="s">
        <v>15</v>
      </c>
      <c r="G1" s="218" t="s">
        <v>14</v>
      </c>
      <c r="H1" s="208" t="s">
        <v>13</v>
      </c>
      <c r="I1" s="208" t="s">
        <v>5</v>
      </c>
      <c r="J1" s="208" t="s">
        <v>16</v>
      </c>
      <c r="K1" s="208" t="s">
        <v>17</v>
      </c>
      <c r="L1" s="208" t="s">
        <v>19</v>
      </c>
      <c r="M1" s="208" t="s">
        <v>20</v>
      </c>
      <c r="N1" s="210" t="s">
        <v>18</v>
      </c>
    </row>
    <row r="2" spans="1:14" x14ac:dyDescent="0.3">
      <c r="A2" s="217"/>
      <c r="B2" s="215"/>
      <c r="C2" s="39" t="s">
        <v>10</v>
      </c>
      <c r="D2" s="39" t="s">
        <v>11</v>
      </c>
      <c r="E2" s="39" t="s">
        <v>12</v>
      </c>
      <c r="F2" s="213"/>
      <c r="G2" s="219"/>
      <c r="H2" s="209"/>
      <c r="I2" s="209"/>
      <c r="J2" s="209"/>
      <c r="K2" s="209"/>
      <c r="L2" s="209"/>
      <c r="M2" s="209"/>
      <c r="N2" s="211"/>
    </row>
    <row r="3" spans="1:14" ht="15" thickBot="1" x14ac:dyDescent="0.35">
      <c r="A3" s="40" t="s">
        <v>41</v>
      </c>
      <c r="B3" s="41">
        <v>4.5</v>
      </c>
      <c r="C3" s="41">
        <v>50</v>
      </c>
      <c r="D3" s="41">
        <v>41</v>
      </c>
      <c r="E3" s="41">
        <v>70</v>
      </c>
      <c r="F3" s="41">
        <f>($C$3*$D$3*$E$3)/5000</f>
        <v>28.7</v>
      </c>
      <c r="G3" s="41">
        <f>MAX($B$3, $F$3)</f>
        <v>28.7</v>
      </c>
      <c r="H3" s="41" t="s">
        <v>3</v>
      </c>
      <c r="I3" s="41">
        <v>30</v>
      </c>
      <c r="J3" s="41">
        <f ca="1">INDEX(INDIRECT("'"&amp;A3&amp;"'!B:G"),
       MATCH(I3, INDIRECT("'"&amp;A3&amp;"'!A:A"), 0),
       MATCH(H3, INDIRECT("'"&amp;A3&amp;"'!B1:G1"), 0))</f>
        <v>1500</v>
      </c>
      <c r="K3" s="41">
        <f ca="1">J3*_xlfn.XLOOKUP(A3,$A$7:$A$11,$B$7:$B$11)</f>
        <v>150</v>
      </c>
      <c r="L3" s="41">
        <f ca="1">SUM(J3, K3)</f>
        <v>1650</v>
      </c>
      <c r="M3" s="41">
        <f ca="1">L3*18%</f>
        <v>297</v>
      </c>
      <c r="N3" s="42">
        <f ca="1">SUM(L3, M3)</f>
        <v>1947</v>
      </c>
    </row>
    <row r="5" spans="1:14" ht="15" thickBot="1" x14ac:dyDescent="0.35"/>
    <row r="6" spans="1:14" x14ac:dyDescent="0.3">
      <c r="A6" s="30" t="s">
        <v>6</v>
      </c>
      <c r="B6" s="31" t="s">
        <v>40</v>
      </c>
    </row>
    <row r="7" spans="1:14" x14ac:dyDescent="0.3">
      <c r="A7" s="34" t="s">
        <v>34</v>
      </c>
      <c r="B7" s="35">
        <v>0.1</v>
      </c>
    </row>
    <row r="8" spans="1:14" x14ac:dyDescent="0.3">
      <c r="A8" s="36" t="s">
        <v>35</v>
      </c>
      <c r="B8" s="37">
        <v>0.35</v>
      </c>
    </row>
    <row r="9" spans="1:14" x14ac:dyDescent="0.3">
      <c r="A9" s="34" t="s">
        <v>41</v>
      </c>
      <c r="B9" s="35">
        <v>0.1</v>
      </c>
    </row>
    <row r="10" spans="1:14" x14ac:dyDescent="0.3">
      <c r="A10" s="34" t="s">
        <v>44</v>
      </c>
      <c r="B10" s="35">
        <v>0.1</v>
      </c>
    </row>
    <row r="11" spans="1:14" ht="15" thickBot="1" x14ac:dyDescent="0.35">
      <c r="A11" s="40" t="s">
        <v>45</v>
      </c>
      <c r="B11" s="206">
        <v>0.1</v>
      </c>
    </row>
  </sheetData>
  <mergeCells count="12">
    <mergeCell ref="C1:E1"/>
    <mergeCell ref="F1:F2"/>
    <mergeCell ref="B1:B2"/>
    <mergeCell ref="A1:A2"/>
    <mergeCell ref="G1:G2"/>
    <mergeCell ref="M1:M2"/>
    <mergeCell ref="N1:N2"/>
    <mergeCell ref="H1:H2"/>
    <mergeCell ref="I1:I2"/>
    <mergeCell ref="J1:J2"/>
    <mergeCell ref="K1:K2"/>
    <mergeCell ref="L1:L2"/>
  </mergeCells>
  <dataValidations count="1">
    <dataValidation type="list" allowBlank="1" showInputMessage="1" showErrorMessage="1" sqref="A3" xr:uid="{C614F1A9-952E-49F5-8203-C638C7FCDB42}">
      <formula1>"PROFESSIONAL COURIER SERVICE, ANJANI COURIER SERVICE, SHREE MARUTI COURIER SERVICE, DTDC, ITHINK LOGISTIC SHADOWFAX"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13F3FF-49BB-4900-8368-A5E69A64B6D8}">
          <x14:formula1>
            <xm:f>RESTOFINDIA!$B$1:$B$208</xm:f>
          </x14:formula1>
          <xm:sqref>B3</xm:sqref>
        </x14:dataValidation>
        <x14:dataValidation type="list" allowBlank="1" showInputMessage="1" showErrorMessage="1" xr:uid="{D707997B-3D95-4B7F-8CD1-F00DB2A2E876}">
          <x14:formula1>
            <xm:f>DTDC!$B$1:$G$1</xm:f>
          </x14:formula1>
          <xm:sqref>H3</xm:sqref>
        </x14:dataValidation>
        <x14:dataValidation type="list" allowBlank="1" showInputMessage="1" showErrorMessage="1" xr:uid="{C57F4EA8-44F6-4AA3-8F70-8FA3962CCB88}">
          <x14:formula1>
            <xm:f>WITHINCITY!$B$4:$B$53</xm:f>
          </x14:formula1>
          <xm:sqref>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F468-BE8C-423C-AC1D-B6318F7A1DDA}">
  <dimension ref="A1:BW64"/>
  <sheetViews>
    <sheetView topLeftCell="A43" zoomScale="96" zoomScaleNormal="96" workbookViewId="0">
      <selection activeCell="AL60" sqref="AL60"/>
    </sheetView>
  </sheetViews>
  <sheetFormatPr defaultRowHeight="14.4" x14ac:dyDescent="0.3"/>
  <cols>
    <col min="3" max="3" width="15" customWidth="1"/>
    <col min="7" max="7" width="15.33203125" customWidth="1"/>
    <col min="12" max="12" width="9.6640625" bestFit="1" customWidth="1"/>
    <col min="16" max="16" width="14.109375" customWidth="1"/>
    <col min="20" max="20" width="11.44140625" customWidth="1"/>
    <col min="24" max="24" width="11.5546875" customWidth="1"/>
    <col min="25" max="25" width="11.6640625" customWidth="1"/>
    <col min="30" max="30" width="9" bestFit="1" customWidth="1"/>
    <col min="31" max="31" width="7.88671875" bestFit="1" customWidth="1"/>
    <col min="40" max="40" width="8.88671875" customWidth="1"/>
    <col min="53" max="53" width="14.77734375" customWidth="1"/>
    <col min="57" max="57" width="12.88671875" customWidth="1"/>
  </cols>
  <sheetData>
    <row r="1" spans="1:75" ht="15" thickBot="1" x14ac:dyDescent="0.35">
      <c r="A1" s="231" t="s">
        <v>48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  <c r="AS1" s="197"/>
      <c r="AT1" s="197"/>
      <c r="AU1" s="197"/>
      <c r="AV1" s="197"/>
      <c r="AW1" s="197"/>
      <c r="AX1" s="197"/>
      <c r="AY1" s="197"/>
      <c r="AZ1" s="197"/>
      <c r="BA1" s="197"/>
      <c r="BB1" s="197"/>
      <c r="BC1" s="197"/>
      <c r="BD1" s="197"/>
      <c r="BE1" s="197"/>
      <c r="BF1" s="197"/>
      <c r="BG1" s="197"/>
      <c r="BH1" s="197"/>
      <c r="BI1" s="197"/>
      <c r="BJ1" s="197"/>
      <c r="BK1" s="197"/>
      <c r="BL1" s="197"/>
      <c r="BM1" s="197"/>
      <c r="BN1" s="197"/>
      <c r="BO1" s="197"/>
      <c r="BP1" s="197"/>
      <c r="BQ1" s="197"/>
      <c r="BR1" s="197"/>
      <c r="BS1" s="197"/>
      <c r="BT1" s="197"/>
      <c r="BU1" s="197"/>
      <c r="BV1" s="197"/>
      <c r="BW1" s="198"/>
    </row>
    <row r="2" spans="1:75" ht="15" thickBot="1" x14ac:dyDescent="0.35">
      <c r="A2" s="228" t="s">
        <v>1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30"/>
      <c r="N2" s="47"/>
      <c r="O2" s="228" t="s">
        <v>2</v>
      </c>
      <c r="P2" s="229"/>
      <c r="Q2" s="229"/>
      <c r="R2" s="229"/>
      <c r="S2" s="229"/>
      <c r="T2" s="229"/>
      <c r="U2" s="229"/>
      <c r="V2" s="229"/>
      <c r="W2" s="229"/>
      <c r="X2" s="229"/>
      <c r="Y2" s="230"/>
      <c r="AA2" s="228" t="s">
        <v>3</v>
      </c>
      <c r="AB2" s="229"/>
      <c r="AC2" s="229"/>
      <c r="AD2" s="229"/>
      <c r="AE2" s="229"/>
      <c r="AF2" s="229"/>
      <c r="AG2" s="229"/>
      <c r="AH2" s="229"/>
      <c r="AI2" s="229"/>
      <c r="AJ2" s="229"/>
      <c r="AK2" s="230"/>
      <c r="AM2" s="228" t="s">
        <v>8</v>
      </c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30"/>
      <c r="AZ2" s="228" t="s">
        <v>4</v>
      </c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30"/>
      <c r="BM2" s="228" t="s">
        <v>7</v>
      </c>
      <c r="BN2" s="229"/>
      <c r="BO2" s="229"/>
      <c r="BP2" s="229"/>
      <c r="BQ2" s="229"/>
      <c r="BR2" s="229"/>
      <c r="BS2" s="229"/>
      <c r="BT2" s="229"/>
      <c r="BU2" s="229"/>
      <c r="BV2" s="229"/>
      <c r="BW2" s="230"/>
    </row>
    <row r="3" spans="1:75" ht="15" thickBot="1" x14ac:dyDescent="0.35">
      <c r="A3" s="220" t="s">
        <v>49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2"/>
      <c r="N3" s="47"/>
      <c r="O3" s="220" t="s">
        <v>49</v>
      </c>
      <c r="P3" s="221"/>
      <c r="Q3" s="221"/>
      <c r="R3" s="221"/>
      <c r="S3" s="221"/>
      <c r="T3" s="221"/>
      <c r="U3" s="221"/>
      <c r="V3" s="221"/>
      <c r="W3" s="221"/>
      <c r="X3" s="221"/>
      <c r="Y3" s="222"/>
      <c r="AA3" s="220" t="s">
        <v>49</v>
      </c>
      <c r="AB3" s="221"/>
      <c r="AC3" s="221"/>
      <c r="AD3" s="221"/>
      <c r="AE3" s="221"/>
      <c r="AF3" s="221"/>
      <c r="AG3" s="221"/>
      <c r="AH3" s="221"/>
      <c r="AI3" s="221"/>
      <c r="AJ3" s="221"/>
      <c r="AK3" s="222"/>
      <c r="AM3" s="220" t="s">
        <v>49</v>
      </c>
      <c r="AN3" s="221"/>
      <c r="AO3" s="221"/>
      <c r="AP3" s="221"/>
      <c r="AQ3" s="221"/>
      <c r="AR3" s="221"/>
      <c r="AS3" s="221"/>
      <c r="AT3" s="221"/>
      <c r="AU3" s="221"/>
      <c r="AV3" s="221"/>
      <c r="AW3" s="221"/>
      <c r="AX3" s="222"/>
      <c r="AZ3" s="220" t="s">
        <v>49</v>
      </c>
      <c r="BA3" s="221"/>
      <c r="BB3" s="221"/>
      <c r="BC3" s="221"/>
      <c r="BD3" s="221"/>
      <c r="BE3" s="221"/>
      <c r="BF3" s="221"/>
      <c r="BG3" s="221"/>
      <c r="BH3" s="221"/>
      <c r="BI3" s="221"/>
      <c r="BJ3" s="221"/>
      <c r="BK3" s="222"/>
      <c r="BM3" s="220" t="s">
        <v>49</v>
      </c>
      <c r="BN3" s="221"/>
      <c r="BO3" s="221"/>
      <c r="BP3" s="221"/>
      <c r="BQ3" s="221"/>
      <c r="BR3" s="221"/>
      <c r="BS3" s="221"/>
      <c r="BT3" s="221"/>
      <c r="BU3" s="221"/>
      <c r="BV3" s="221"/>
      <c r="BW3" s="222"/>
    </row>
    <row r="4" spans="1:75" ht="72.599999999999994" thickBot="1" x14ac:dyDescent="0.35">
      <c r="A4" s="116" t="s">
        <v>0</v>
      </c>
      <c r="B4" s="117" t="s">
        <v>22</v>
      </c>
      <c r="C4" s="118" t="s">
        <v>34</v>
      </c>
      <c r="D4" s="118" t="s">
        <v>18</v>
      </c>
      <c r="E4" s="117" t="s">
        <v>44</v>
      </c>
      <c r="F4" s="118" t="s">
        <v>18</v>
      </c>
      <c r="G4" s="118" t="s">
        <v>41</v>
      </c>
      <c r="H4" s="119" t="s">
        <v>50</v>
      </c>
      <c r="I4" s="119" t="s">
        <v>58</v>
      </c>
      <c r="J4" s="117" t="s">
        <v>46</v>
      </c>
      <c r="K4" s="118" t="s">
        <v>57</v>
      </c>
      <c r="L4" s="118" t="s">
        <v>59</v>
      </c>
      <c r="M4" s="133" t="s">
        <v>54</v>
      </c>
      <c r="N4" s="47"/>
      <c r="O4" s="117" t="s">
        <v>22</v>
      </c>
      <c r="P4" s="118" t="s">
        <v>34</v>
      </c>
      <c r="Q4" s="118" t="s">
        <v>18</v>
      </c>
      <c r="R4" s="117" t="s">
        <v>44</v>
      </c>
      <c r="S4" s="118" t="s">
        <v>18</v>
      </c>
      <c r="T4" s="118" t="s">
        <v>41</v>
      </c>
      <c r="U4" s="119" t="s">
        <v>50</v>
      </c>
      <c r="V4" s="119" t="s">
        <v>58</v>
      </c>
      <c r="W4" s="117" t="s">
        <v>46</v>
      </c>
      <c r="X4" s="133" t="s">
        <v>56</v>
      </c>
      <c r="Y4" s="118" t="s">
        <v>60</v>
      </c>
      <c r="AA4" s="125" t="s">
        <v>22</v>
      </c>
      <c r="AB4" s="126" t="s">
        <v>34</v>
      </c>
      <c r="AC4" s="126" t="s">
        <v>18</v>
      </c>
      <c r="AD4" s="125" t="s">
        <v>44</v>
      </c>
      <c r="AE4" s="126" t="s">
        <v>18</v>
      </c>
      <c r="AF4" s="126" t="s">
        <v>41</v>
      </c>
      <c r="AG4" s="127" t="s">
        <v>50</v>
      </c>
      <c r="AH4" s="127" t="s">
        <v>58</v>
      </c>
      <c r="AI4" s="125" t="s">
        <v>46</v>
      </c>
      <c r="AJ4" s="138" t="s">
        <v>55</v>
      </c>
      <c r="AK4" s="126" t="s">
        <v>62</v>
      </c>
      <c r="AM4" s="125" t="s">
        <v>22</v>
      </c>
      <c r="AN4" s="126" t="s">
        <v>34</v>
      </c>
      <c r="AO4" s="126" t="s">
        <v>18</v>
      </c>
      <c r="AP4" s="125" t="s">
        <v>44</v>
      </c>
      <c r="AQ4" s="126" t="s">
        <v>18</v>
      </c>
      <c r="AR4" s="126" t="s">
        <v>41</v>
      </c>
      <c r="AS4" s="127" t="s">
        <v>50</v>
      </c>
      <c r="AT4" s="127" t="s">
        <v>58</v>
      </c>
      <c r="AU4" s="125" t="s">
        <v>46</v>
      </c>
      <c r="AV4" s="126" t="s">
        <v>53</v>
      </c>
      <c r="AW4" s="138" t="s">
        <v>54</v>
      </c>
      <c r="AX4" s="126" t="s">
        <v>63</v>
      </c>
      <c r="AZ4" s="125" t="s">
        <v>22</v>
      </c>
      <c r="BA4" s="126" t="s">
        <v>34</v>
      </c>
      <c r="BB4" s="126" t="s">
        <v>18</v>
      </c>
      <c r="BC4" s="125" t="s">
        <v>44</v>
      </c>
      <c r="BD4" s="126" t="s">
        <v>18</v>
      </c>
      <c r="BE4" s="126" t="s">
        <v>41</v>
      </c>
      <c r="BF4" s="127" t="s">
        <v>50</v>
      </c>
      <c r="BG4" s="127" t="s">
        <v>61</v>
      </c>
      <c r="BH4" s="125" t="s">
        <v>46</v>
      </c>
      <c r="BI4" s="126" t="s">
        <v>53</v>
      </c>
      <c r="BJ4" s="126" t="s">
        <v>63</v>
      </c>
      <c r="BK4" s="138" t="s">
        <v>54</v>
      </c>
      <c r="BM4" s="125" t="s">
        <v>22</v>
      </c>
      <c r="BN4" s="126" t="s">
        <v>34</v>
      </c>
      <c r="BO4" s="126" t="s">
        <v>18</v>
      </c>
      <c r="BP4" s="125" t="s">
        <v>44</v>
      </c>
      <c r="BQ4" s="126" t="s">
        <v>18</v>
      </c>
      <c r="BR4" s="126" t="s">
        <v>41</v>
      </c>
      <c r="BS4" s="127" t="s">
        <v>50</v>
      </c>
      <c r="BT4" s="127" t="s">
        <v>61</v>
      </c>
      <c r="BU4" s="125" t="s">
        <v>46</v>
      </c>
      <c r="BV4" s="126" t="s">
        <v>53</v>
      </c>
      <c r="BW4" s="138" t="s">
        <v>54</v>
      </c>
    </row>
    <row r="5" spans="1:75" x14ac:dyDescent="0.3">
      <c r="A5" s="109" cm="1">
        <f t="array" ref="A5:A54">_xlfn.SEQUENCE(50)</f>
        <v>1</v>
      </c>
      <c r="B5" s="110">
        <v>1</v>
      </c>
      <c r="C5" s="111" cm="1">
        <f t="array" ref="C5:C54">VLOOKUP(B5:B54, WITHINCITY!B4:C105,2,0)</f>
        <v>15</v>
      </c>
      <c r="D5" s="112" cm="1">
        <f t="array" ref="D5:D54">VLOOKUP(B5:B54, WITHINCITY!B4:N53,13,0)</f>
        <v>16.5</v>
      </c>
      <c r="E5" s="95" cm="1">
        <f t="array" ref="E5:E54">VLOOKUP(B5:B54, WITHINCITY!B4:E105,4,0)</f>
        <v>54</v>
      </c>
      <c r="F5" s="96" cm="1">
        <f t="array" ref="F5:F54">VLOOKUP(B5:B54, WITHINCITY!B4:P53,15,0)</f>
        <v>59.4</v>
      </c>
      <c r="G5" s="176" cm="1">
        <f t="array" ref="G5:G54">VLOOKUP(B5:B54, WITHINCITY!B4:F105,5,0)</f>
        <v>15</v>
      </c>
      <c r="H5" s="113" cm="1">
        <f t="array" ref="H5:H54">VLOOKUP(B5:B54, WITHINCITY!B4:Q53,16,0)</f>
        <v>16.5</v>
      </c>
      <c r="I5" s="97" cm="1">
        <f t="array" ref="I5:I54">VLOOKUP(B5:B54, WITHINCITY!B4:J53,9,0)</f>
        <v>54</v>
      </c>
      <c r="J5" s="97">
        <f t="shared" ref="J5:J36" si="0">MAX(D5, F5, H5) - MIN(D5, F5, H5)</f>
        <v>42.9</v>
      </c>
      <c r="K5" s="98">
        <f t="shared" ref="K5:K36" si="1">J5/MIN(D5, F5, H5)</f>
        <v>2.6</v>
      </c>
      <c r="L5" s="114"/>
      <c r="M5" s="115"/>
      <c r="O5" s="121">
        <v>1</v>
      </c>
      <c r="P5" s="59" cm="1">
        <f t="array" ref="P5:P54">VLOOKUP(O5:O54, WITHINSTATE!B4:C105,2,0)</f>
        <v>35</v>
      </c>
      <c r="Q5" s="60" cm="1">
        <f t="array" ref="Q5:Q54">VLOOKUP(O5:O54, WITHINSTATE!B4:N53,13,0)</f>
        <v>38.5</v>
      </c>
      <c r="R5" s="186" cm="1">
        <f t="array" ref="R5:R54">VLOOKUP(O5:O54, WITHINSTATE!B4:E105,4,0)</f>
        <v>60</v>
      </c>
      <c r="S5" s="187" cm="1">
        <f t="array" ref="S5:S54">VLOOKUP(O5:O54, WITHINSTATE!B4:P53,15,0)</f>
        <v>66</v>
      </c>
      <c r="T5" s="186" cm="1">
        <f t="array" ref="T5:T54">VLOOKUP(O5:O54, WITHINSTATE!B4:F53,5,0)</f>
        <v>25</v>
      </c>
      <c r="U5" s="64" cm="1">
        <f t="array" ref="U5:U54">VLOOKUP(O5:O54, WITHINSTATE!B4:Q53,16,0)</f>
        <v>27.5</v>
      </c>
      <c r="V5" s="64" cm="1">
        <f t="array" ref="V5:V54">VLOOKUP(O5:O54, WITHINSTATE!B4:J53,9,0)</f>
        <v>59</v>
      </c>
      <c r="W5" s="68">
        <f>MAX(Q5, S5, U5) - MIN(Q5, S5, U5)</f>
        <v>38.5</v>
      </c>
      <c r="X5" s="76"/>
      <c r="Y5" s="76"/>
      <c r="AA5" s="121">
        <v>1</v>
      </c>
      <c r="AB5" s="59" cm="1">
        <f t="array" ref="AB5:AB54">VLOOKUP(AA5:AA54, WITHINZONE!B4:C105,2,0)</f>
        <v>40</v>
      </c>
      <c r="AC5" s="60" cm="1">
        <f t="array" ref="AC5:AC54">VLOOKUP(AA5:AA54, WITHINZONE!B4:N53,13,0)</f>
        <v>44</v>
      </c>
      <c r="AD5" s="186" cm="1">
        <f t="array" ref="AD5:AD54">VLOOKUP(AA5:AA54, WITHINZONE!B4:E53,4,0)</f>
        <v>75</v>
      </c>
      <c r="AE5" s="187" cm="1">
        <f t="array" ref="AE5:AE54">VLOOKUP(AA5:AA54, WITHINZONE!B4:P53,15,0)</f>
        <v>82.5</v>
      </c>
      <c r="AF5" s="186" cm="1">
        <f t="array" ref="AF5:AF54">VLOOKUP(AA5:AA54, WITHINZONE!B4:F53,5,0)</f>
        <v>50</v>
      </c>
      <c r="AG5" s="64" cm="1">
        <f t="array" ref="AG5:AG54">VLOOKUP(AA5:AA54, WITHINZONE!B4:Q53,16,0)</f>
        <v>55</v>
      </c>
      <c r="AH5" s="64" cm="1">
        <f t="array" ref="AH5:AH54">VLOOKUP(AA5:AA54, WITHINZONE!B4:J53,9,0)</f>
        <v>59</v>
      </c>
      <c r="AI5" s="68">
        <f>MAX(AC5, AE5, AG5) - MIN(AC5, AE5, AG5)</f>
        <v>38.5</v>
      </c>
      <c r="AJ5" s="62"/>
      <c r="AK5" s="76"/>
      <c r="AM5" s="121">
        <v>1</v>
      </c>
      <c r="AN5" s="59" cm="1">
        <f t="array" ref="AN5:AN54">VLOOKUP(AM5:AM54, 'METRO TO METRO'!B4:C105,2,0)</f>
        <v>70</v>
      </c>
      <c r="AO5" s="60" cm="1">
        <f t="array" ref="AO5:AO54">VLOOKUP(AM5:AM54, 'METRO TO METRO'!B4:N53,13,0)</f>
        <v>77</v>
      </c>
      <c r="AP5" s="186" cm="1">
        <f t="array" ref="AP5:AP54">VLOOKUP(AM5:AM54, 'METRO TO METRO'!B4:E53,4,0)</f>
        <v>84</v>
      </c>
      <c r="AQ5" s="187" cm="1">
        <f t="array" ref="AQ5:AQ54">VLOOKUP(AM5:AM54, 'METRO TO METRO'!B4:P53,15,0)</f>
        <v>92.4</v>
      </c>
      <c r="AR5" s="186" cm="1">
        <f t="array" ref="AR5:AR54">VLOOKUP(AM5:AM54, 'METRO TO METRO'!B4:F53,5,0)</f>
        <v>55</v>
      </c>
      <c r="AS5" s="64" cm="1">
        <f t="array" ref="AS5:AS54">VLOOKUP(AM5:AM54, 'METRO TO METRO'!B4:Q53,16,0)</f>
        <v>60.5</v>
      </c>
      <c r="AT5" s="64" cm="1">
        <f t="array" ref="AT5:AT54">VLOOKUP(AM5:AM54, 'METRO TO METRO'!B4:J53,9,0)</f>
        <v>71.25</v>
      </c>
      <c r="AU5" s="68">
        <f>MAX(AO5, AQ5, AS5) - MIN(AO5, AQ5, AS5)</f>
        <v>31.900000000000006</v>
      </c>
      <c r="AV5" s="62">
        <f>AU5/MIN(AO5, AQ5, AS5)</f>
        <v>0.52727272727272734</v>
      </c>
      <c r="AW5" s="62"/>
      <c r="AX5" s="76"/>
      <c r="AZ5" s="121">
        <v>1</v>
      </c>
      <c r="BA5" s="59" cm="1">
        <f t="array" ref="BA5:BA54">VLOOKUP(AZ5:AZ54, RESTOFINDIA!B4:C53,2,0)</f>
        <v>70</v>
      </c>
      <c r="BB5" s="60" cm="1">
        <f t="array" ref="BB5:BB54">VLOOKUP(AZ5:AZ54, RESTOFINDIA!B4:N53,13,0)</f>
        <v>77</v>
      </c>
      <c r="BC5" s="186" cm="1">
        <f t="array" ref="BC5:BC54">VLOOKUP(AZ5:AZ54, RESTOFINDIA!B4:E53,4,0)</f>
        <v>90</v>
      </c>
      <c r="BD5" s="187" cm="1">
        <f t="array" ref="BD5:BD54">VLOOKUP(AZ5:AZ54, RESTOFINDIA!B4:P53,15,0)</f>
        <v>99</v>
      </c>
      <c r="BE5" s="186" cm="1">
        <f t="array" ref="BE5:BE54">VLOOKUP(AZ5:AZ54, RESTOFINDIA!B4:F53,5,0)</f>
        <v>50</v>
      </c>
      <c r="BF5" s="64" cm="1">
        <f t="array" ref="BF5:BF54">VLOOKUP(AZ5:AZ54, RESTOFINDIA!B4:Q53,16,0)</f>
        <v>55</v>
      </c>
      <c r="BG5" s="64" cm="1">
        <f t="array" ref="BG5:BG54">VLOOKUP(AZ5:AZ54, RESTOFINDIA!B4:J53,9,0)</f>
        <v>75.25</v>
      </c>
      <c r="BH5" s="68">
        <f>MAX(BB5, BD5, BF5) - MIN(BB5, BD5, BF5)</f>
        <v>44</v>
      </c>
      <c r="BI5" s="62">
        <f>BH5/MIN(BB5, BD5, BF5)</f>
        <v>0.8</v>
      </c>
      <c r="BJ5" s="62"/>
      <c r="BK5" s="76"/>
      <c r="BM5" s="121">
        <v>1</v>
      </c>
      <c r="BN5" s="59" cm="1">
        <f t="array" ref="BN5:BN54">VLOOKUP(BM5:BM54, SPECIALDESTINATION!B4:C53,2,0)</f>
        <v>70</v>
      </c>
      <c r="BO5" s="60" cm="1">
        <f t="array" ref="BO5:BO54">VLOOKUP(BM5:BM54, SPECIALDESTINATION!B4:N53,13,0)</f>
        <v>77</v>
      </c>
      <c r="BP5" s="186" cm="1">
        <f t="array" ref="BP5:BP54">VLOOKUP(BM5:BM54, SPECIALDESTINATION!B4:E53,4,0)</f>
        <v>135</v>
      </c>
      <c r="BQ5" s="187" cm="1">
        <f t="array" ref="BQ5:BQ54">VLOOKUP(BM5:BM54, SPECIALDESTINATION!B4:O53,14,0)</f>
        <v>148.5</v>
      </c>
      <c r="BR5" s="186" cm="1">
        <f t="array" ref="BR5:BR54">VLOOKUP(BM5:BM54, SPECIALDESTINATION!B4:F53,5,0)</f>
        <v>60</v>
      </c>
      <c r="BS5" s="64" cm="1">
        <f t="array" ref="BS5:BS54">VLOOKUP(BM5:BM54, SPECIALDESTINATION!B4:P53,15,0)</f>
        <v>66</v>
      </c>
      <c r="BT5" s="64" cm="1">
        <f t="array" ref="BT5:BT54">VLOOKUP(BM5:BM54, SPECIALDESTINATION!B4:J53,9,0)</f>
        <v>90.25</v>
      </c>
      <c r="BU5" s="68">
        <f>MAX(BO5, BQ5, BS5) - MIN(BO5, BQ5, BS5)</f>
        <v>82.5</v>
      </c>
      <c r="BV5" s="62">
        <f>BU5/MIN(BO5, BQ5, BS5)</f>
        <v>1.25</v>
      </c>
      <c r="BW5" s="76"/>
    </row>
    <row r="6" spans="1:75" x14ac:dyDescent="0.3">
      <c r="A6" s="48">
        <v>2</v>
      </c>
      <c r="B6" s="16">
        <f>B5 + 1</f>
        <v>2</v>
      </c>
      <c r="C6" s="69">
        <v>30</v>
      </c>
      <c r="D6" s="70">
        <v>33</v>
      </c>
      <c r="E6" s="65">
        <v>54</v>
      </c>
      <c r="F6" s="66">
        <v>59.4</v>
      </c>
      <c r="G6" s="177">
        <v>30</v>
      </c>
      <c r="H6" s="71">
        <v>33</v>
      </c>
      <c r="I6" s="72">
        <v>105.5</v>
      </c>
      <c r="J6" s="72">
        <f t="shared" si="0"/>
        <v>26.4</v>
      </c>
      <c r="K6" s="50">
        <f t="shared" si="1"/>
        <v>0.79999999999999993</v>
      </c>
      <c r="L6" s="99"/>
      <c r="M6" s="100"/>
      <c r="O6" s="28">
        <f>O5 + 1</f>
        <v>2</v>
      </c>
      <c r="P6" s="53">
        <v>70</v>
      </c>
      <c r="Q6" s="57">
        <v>77</v>
      </c>
      <c r="R6" s="177">
        <v>60</v>
      </c>
      <c r="S6" s="188">
        <v>66</v>
      </c>
      <c r="T6" s="177">
        <v>50</v>
      </c>
      <c r="U6" s="67">
        <v>55</v>
      </c>
      <c r="V6" s="67">
        <v>115.5</v>
      </c>
      <c r="W6" s="72">
        <f t="shared" ref="W6:W54" si="2">MAX(Q6, S6, U6) - MIN(Q6, S6, U6)</f>
        <v>22</v>
      </c>
      <c r="X6" s="94"/>
      <c r="Y6" s="3"/>
      <c r="AA6" s="28">
        <f>AA5 + 1</f>
        <v>2</v>
      </c>
      <c r="AB6" s="53">
        <v>80</v>
      </c>
      <c r="AC6" s="57">
        <v>88</v>
      </c>
      <c r="AD6" s="177">
        <v>75</v>
      </c>
      <c r="AE6" s="188">
        <v>82.5</v>
      </c>
      <c r="AF6" s="177">
        <v>100</v>
      </c>
      <c r="AG6" s="67">
        <v>110</v>
      </c>
      <c r="AH6" s="67">
        <v>115.5</v>
      </c>
      <c r="AI6" s="72">
        <f t="shared" ref="AI6:AI54" si="3">MAX(AC6, AE6, AG6) - MIN(AC6, AE6, AG6)</f>
        <v>27.5</v>
      </c>
      <c r="AJ6" s="50"/>
      <c r="AK6" s="3"/>
      <c r="AM6" s="28">
        <f>AM5 + 1</f>
        <v>2</v>
      </c>
      <c r="AN6" s="53">
        <v>140</v>
      </c>
      <c r="AO6" s="57">
        <v>154</v>
      </c>
      <c r="AP6" s="177">
        <v>84</v>
      </c>
      <c r="AQ6" s="188">
        <v>92.4</v>
      </c>
      <c r="AR6" s="177">
        <v>110</v>
      </c>
      <c r="AS6" s="67">
        <v>121</v>
      </c>
      <c r="AT6" s="67">
        <v>138.75</v>
      </c>
      <c r="AU6" s="72">
        <f t="shared" ref="AU6:AU54" si="4">MAX(AO6, AQ6, AS6) - MIN(AO6, AQ6, AS6)</f>
        <v>61.599999999999994</v>
      </c>
      <c r="AV6" s="50">
        <f t="shared" ref="AV6:AV54" si="5">AU6/MIN(AO6, AQ6, AS6)</f>
        <v>0.66666666666666652</v>
      </c>
      <c r="AW6" s="50"/>
      <c r="AX6" s="3"/>
      <c r="AZ6" s="28">
        <f>AZ5 + 1</f>
        <v>2</v>
      </c>
      <c r="BA6" s="53">
        <v>140</v>
      </c>
      <c r="BB6" s="57">
        <v>154</v>
      </c>
      <c r="BC6" s="177">
        <v>90</v>
      </c>
      <c r="BD6" s="188">
        <v>99</v>
      </c>
      <c r="BE6" s="177">
        <v>100</v>
      </c>
      <c r="BF6" s="67">
        <v>110</v>
      </c>
      <c r="BG6" s="67">
        <v>146.75</v>
      </c>
      <c r="BH6" s="72">
        <f t="shared" ref="BH6:BH54" si="6">MAX(BB6, BD6, BF6) - MIN(BB6, BD6, BF6)</f>
        <v>55</v>
      </c>
      <c r="BI6" s="50">
        <f t="shared" ref="BI6:BI54" si="7">BH6/MIN(BB6, BD6, BF6)</f>
        <v>0.55555555555555558</v>
      </c>
      <c r="BJ6" s="2"/>
      <c r="BK6" s="94"/>
      <c r="BM6" s="28">
        <f>BM5 + 1</f>
        <v>2</v>
      </c>
      <c r="BN6" s="53">
        <v>140</v>
      </c>
      <c r="BO6" s="57">
        <v>154</v>
      </c>
      <c r="BP6" s="177">
        <v>135</v>
      </c>
      <c r="BQ6" s="188">
        <v>148.5</v>
      </c>
      <c r="BR6" s="177">
        <v>120</v>
      </c>
      <c r="BS6" s="67">
        <v>132</v>
      </c>
      <c r="BT6" s="67">
        <v>176.75</v>
      </c>
      <c r="BU6" s="72">
        <f t="shared" ref="BU6:BU54" si="8">MAX(BO6, BQ6, BS6) - MIN(BO6, BQ6, BS6)</f>
        <v>22</v>
      </c>
      <c r="BV6" s="50">
        <f t="shared" ref="BV6:BV54" si="9">BU6/MIN(BO6, BQ6, BS6)</f>
        <v>0.16666666666666666</v>
      </c>
      <c r="BW6" s="94"/>
    </row>
    <row r="7" spans="1:75" x14ac:dyDescent="0.3">
      <c r="A7" s="48">
        <v>3</v>
      </c>
      <c r="B7" s="16">
        <f t="shared" ref="B7:B54" si="10">B6 + 1</f>
        <v>3</v>
      </c>
      <c r="C7" s="69">
        <v>45</v>
      </c>
      <c r="D7" s="70">
        <v>49.5</v>
      </c>
      <c r="E7" s="65">
        <v>54</v>
      </c>
      <c r="F7" s="66">
        <v>59.4</v>
      </c>
      <c r="G7" s="177">
        <v>45</v>
      </c>
      <c r="H7" s="71">
        <v>49.5</v>
      </c>
      <c r="I7" s="72">
        <v>157</v>
      </c>
      <c r="J7" s="72">
        <f t="shared" si="0"/>
        <v>9.8999999999999986</v>
      </c>
      <c r="K7" s="50">
        <f t="shared" si="1"/>
        <v>0.19999999999999998</v>
      </c>
      <c r="L7" s="100">
        <f>(F7-I7)/F7</f>
        <v>-1.6430976430976429</v>
      </c>
      <c r="M7" s="134">
        <f>(F7-H7)/F7</f>
        <v>0.16666666666666666</v>
      </c>
      <c r="O7" s="28">
        <f t="shared" ref="O7:O54" si="11">O6 + 1</f>
        <v>3</v>
      </c>
      <c r="P7" s="53">
        <v>105</v>
      </c>
      <c r="Q7" s="57">
        <v>115.5</v>
      </c>
      <c r="R7" s="177">
        <v>60</v>
      </c>
      <c r="S7" s="188">
        <v>66</v>
      </c>
      <c r="T7" s="177">
        <v>75</v>
      </c>
      <c r="U7" s="67">
        <v>82.5</v>
      </c>
      <c r="V7" s="11">
        <v>172</v>
      </c>
      <c r="W7" s="72">
        <f t="shared" si="2"/>
        <v>49.5</v>
      </c>
      <c r="X7" s="135">
        <f>(R7-T7)/R7</f>
        <v>-0.25</v>
      </c>
      <c r="Y7" s="94">
        <f>(S7-V7)/S7</f>
        <v>-1.606060606060606</v>
      </c>
      <c r="AA7" s="28">
        <f t="shared" ref="AA7:AA54" si="12">AA6 + 1</f>
        <v>3</v>
      </c>
      <c r="AB7" s="53">
        <v>120</v>
      </c>
      <c r="AC7" s="57">
        <v>132</v>
      </c>
      <c r="AD7" s="177">
        <v>75</v>
      </c>
      <c r="AE7" s="188">
        <v>82.5</v>
      </c>
      <c r="AF7" s="177">
        <v>150</v>
      </c>
      <c r="AG7" s="67">
        <v>165</v>
      </c>
      <c r="AH7" s="11">
        <v>172</v>
      </c>
      <c r="AI7" s="72">
        <f t="shared" si="3"/>
        <v>82.5</v>
      </c>
      <c r="AJ7" s="139">
        <f>(AE7-AG7)/AG7</f>
        <v>-0.5</v>
      </c>
      <c r="AK7" s="94">
        <f>(AE7-AH7)/AH7</f>
        <v>-0.52034883720930236</v>
      </c>
      <c r="AM7" s="28">
        <f t="shared" ref="AM7:AM54" si="13">AM6 + 1</f>
        <v>3</v>
      </c>
      <c r="AN7" s="53">
        <v>210</v>
      </c>
      <c r="AO7" s="57">
        <v>231</v>
      </c>
      <c r="AP7" s="177">
        <v>84</v>
      </c>
      <c r="AQ7" s="188">
        <v>92.4</v>
      </c>
      <c r="AR7" s="177">
        <v>165</v>
      </c>
      <c r="AS7" s="67">
        <v>181.5</v>
      </c>
      <c r="AT7" s="11">
        <v>206.25</v>
      </c>
      <c r="AU7" s="72">
        <f t="shared" si="4"/>
        <v>138.6</v>
      </c>
      <c r="AV7" s="50">
        <f t="shared" si="5"/>
        <v>1.4999999999999998</v>
      </c>
      <c r="AW7" s="139">
        <f t="shared" ref="AW7:AW54" si="14">(AP7-AR7)/AR7</f>
        <v>-0.49090909090909091</v>
      </c>
      <c r="AX7" s="94">
        <f>(AQ7-AT7)/AT7</f>
        <v>-0.55199999999999994</v>
      </c>
      <c r="AZ7" s="28">
        <f t="shared" ref="AZ7:AZ54" si="15">AZ6 + 1</f>
        <v>3</v>
      </c>
      <c r="BA7" s="53">
        <v>210</v>
      </c>
      <c r="BB7" s="57">
        <v>231</v>
      </c>
      <c r="BC7" s="177">
        <v>90</v>
      </c>
      <c r="BD7" s="188">
        <v>99</v>
      </c>
      <c r="BE7" s="177">
        <v>150</v>
      </c>
      <c r="BF7" s="67">
        <v>165</v>
      </c>
      <c r="BG7" s="11">
        <v>218.25</v>
      </c>
      <c r="BH7" s="72">
        <f t="shared" si="6"/>
        <v>132</v>
      </c>
      <c r="BI7" s="50">
        <f t="shared" si="7"/>
        <v>1.3333333333333333</v>
      </c>
      <c r="BJ7" s="50">
        <f>(BD7-BG7)/BG7</f>
        <v>-0.54639175257731953</v>
      </c>
      <c r="BK7" s="135">
        <f t="shared" ref="BK7:BK54" si="16">(BC7-BE7)/BE7</f>
        <v>-0.4</v>
      </c>
      <c r="BM7" s="28">
        <f t="shared" ref="BM7:BM54" si="17">BM6 + 1</f>
        <v>3</v>
      </c>
      <c r="BN7" s="53">
        <v>210</v>
      </c>
      <c r="BO7" s="57">
        <v>231</v>
      </c>
      <c r="BP7" s="177">
        <v>135</v>
      </c>
      <c r="BQ7" s="188">
        <v>148.5</v>
      </c>
      <c r="BR7" s="177">
        <v>180</v>
      </c>
      <c r="BS7" s="67">
        <v>198</v>
      </c>
      <c r="BT7" s="67">
        <v>263.25</v>
      </c>
      <c r="BU7" s="72">
        <f t="shared" si="8"/>
        <v>82.5</v>
      </c>
      <c r="BV7" s="50">
        <f t="shared" si="9"/>
        <v>0.55555555555555558</v>
      </c>
      <c r="BW7" s="135">
        <f>(BP7-BR7)/BR7</f>
        <v>-0.25</v>
      </c>
    </row>
    <row r="8" spans="1:75" x14ac:dyDescent="0.3">
      <c r="A8" s="48">
        <v>4</v>
      </c>
      <c r="B8" s="16">
        <f t="shared" si="10"/>
        <v>4</v>
      </c>
      <c r="C8" s="69">
        <v>60</v>
      </c>
      <c r="D8" s="70">
        <v>66</v>
      </c>
      <c r="E8" s="65">
        <v>72</v>
      </c>
      <c r="F8" s="66">
        <v>79.2</v>
      </c>
      <c r="G8" s="177">
        <v>60</v>
      </c>
      <c r="H8" s="71">
        <v>66</v>
      </c>
      <c r="I8" s="72">
        <v>208.5</v>
      </c>
      <c r="J8" s="72">
        <f t="shared" si="0"/>
        <v>13.200000000000003</v>
      </c>
      <c r="K8" s="50">
        <f t="shared" si="1"/>
        <v>0.20000000000000004</v>
      </c>
      <c r="L8" s="100">
        <f t="shared" ref="L8:L54" si="18">(F8-I8)/F8</f>
        <v>-1.6325757575757576</v>
      </c>
      <c r="M8" s="134">
        <f t="shared" ref="M8:M54" si="19">(F8-H8)/F8</f>
        <v>0.16666666666666669</v>
      </c>
      <c r="O8" s="28">
        <f t="shared" si="11"/>
        <v>4</v>
      </c>
      <c r="P8" s="53">
        <v>140</v>
      </c>
      <c r="Q8" s="57">
        <v>154</v>
      </c>
      <c r="R8" s="177">
        <v>80</v>
      </c>
      <c r="S8" s="188">
        <v>88</v>
      </c>
      <c r="T8" s="177">
        <v>100</v>
      </c>
      <c r="U8" s="67">
        <v>110</v>
      </c>
      <c r="V8" s="11">
        <v>228.5</v>
      </c>
      <c r="W8" s="72">
        <f t="shared" si="2"/>
        <v>66</v>
      </c>
      <c r="X8" s="135">
        <f t="shared" ref="X8:X54" si="20">(R8-T8)/R8</f>
        <v>-0.25</v>
      </c>
      <c r="Y8" s="94">
        <f t="shared" ref="Y8:Y54" si="21">(S8-V8)/S8</f>
        <v>-1.5965909090909092</v>
      </c>
      <c r="AA8" s="28">
        <f t="shared" si="12"/>
        <v>4</v>
      </c>
      <c r="AB8" s="53">
        <v>160</v>
      </c>
      <c r="AC8" s="57">
        <v>176</v>
      </c>
      <c r="AD8" s="177">
        <v>100</v>
      </c>
      <c r="AE8" s="188">
        <v>110</v>
      </c>
      <c r="AF8" s="177">
        <v>200</v>
      </c>
      <c r="AG8" s="67">
        <v>220</v>
      </c>
      <c r="AH8" s="11">
        <v>228.5</v>
      </c>
      <c r="AI8" s="72">
        <f t="shared" si="3"/>
        <v>110</v>
      </c>
      <c r="AJ8" s="139">
        <f t="shared" ref="AJ8:AJ54" si="22">(AE8-AG8)/AG8</f>
        <v>-0.5</v>
      </c>
      <c r="AK8" s="94">
        <f t="shared" ref="AK8:AK54" si="23">(AE8-AH8)/AH8</f>
        <v>-0.51859956236323856</v>
      </c>
      <c r="AM8" s="28">
        <f t="shared" si="13"/>
        <v>4</v>
      </c>
      <c r="AN8" s="53">
        <v>280</v>
      </c>
      <c r="AO8" s="57">
        <v>308</v>
      </c>
      <c r="AP8" s="177">
        <v>112</v>
      </c>
      <c r="AQ8" s="188">
        <v>123.2</v>
      </c>
      <c r="AR8" s="177">
        <v>220</v>
      </c>
      <c r="AS8" s="67">
        <v>242</v>
      </c>
      <c r="AT8" s="11">
        <v>273.75</v>
      </c>
      <c r="AU8" s="72">
        <f t="shared" si="4"/>
        <v>184.8</v>
      </c>
      <c r="AV8" s="50">
        <f t="shared" si="5"/>
        <v>1.5</v>
      </c>
      <c r="AW8" s="139">
        <f t="shared" si="14"/>
        <v>-0.49090909090909091</v>
      </c>
      <c r="AX8" s="94">
        <f t="shared" ref="AX8:AX54" si="24">(AQ8-AT8)/AT8</f>
        <v>-0.5499543378995434</v>
      </c>
      <c r="AZ8" s="28">
        <f t="shared" si="15"/>
        <v>4</v>
      </c>
      <c r="BA8" s="53">
        <v>280</v>
      </c>
      <c r="BB8" s="57">
        <v>308</v>
      </c>
      <c r="BC8" s="177">
        <v>120</v>
      </c>
      <c r="BD8" s="188">
        <v>132</v>
      </c>
      <c r="BE8" s="177">
        <v>200</v>
      </c>
      <c r="BF8" s="67">
        <v>220</v>
      </c>
      <c r="BG8" s="11">
        <v>289.75</v>
      </c>
      <c r="BH8" s="72">
        <f t="shared" si="6"/>
        <v>176</v>
      </c>
      <c r="BI8" s="50">
        <f t="shared" si="7"/>
        <v>1.3333333333333333</v>
      </c>
      <c r="BJ8" s="50">
        <f t="shared" ref="BJ8:BJ54" si="25">(BD8-BG8)/BG8</f>
        <v>-0.54443485763589305</v>
      </c>
      <c r="BK8" s="135">
        <f t="shared" si="16"/>
        <v>-0.4</v>
      </c>
      <c r="BM8" s="28">
        <f t="shared" si="17"/>
        <v>4</v>
      </c>
      <c r="BN8" s="53">
        <v>280</v>
      </c>
      <c r="BO8" s="57">
        <v>308</v>
      </c>
      <c r="BP8" s="177">
        <v>180</v>
      </c>
      <c r="BQ8" s="188">
        <v>198</v>
      </c>
      <c r="BR8" s="177">
        <v>240</v>
      </c>
      <c r="BS8" s="67">
        <v>264</v>
      </c>
      <c r="BT8" s="67">
        <v>349.75</v>
      </c>
      <c r="BU8" s="72">
        <f t="shared" si="8"/>
        <v>110</v>
      </c>
      <c r="BV8" s="50">
        <f t="shared" si="9"/>
        <v>0.55555555555555558</v>
      </c>
      <c r="BW8" s="135">
        <f t="shared" ref="BW8" si="26">(BP8-BR8)/BR8</f>
        <v>-0.25</v>
      </c>
    </row>
    <row r="9" spans="1:75" x14ac:dyDescent="0.3">
      <c r="A9" s="48">
        <v>5</v>
      </c>
      <c r="B9" s="16">
        <f t="shared" si="10"/>
        <v>5</v>
      </c>
      <c r="C9" s="69">
        <v>75</v>
      </c>
      <c r="D9" s="70">
        <v>82.5</v>
      </c>
      <c r="E9" s="65">
        <v>90</v>
      </c>
      <c r="F9" s="66">
        <v>99</v>
      </c>
      <c r="G9" s="177">
        <v>75</v>
      </c>
      <c r="H9" s="71">
        <v>82.5</v>
      </c>
      <c r="I9" s="72">
        <v>260</v>
      </c>
      <c r="J9" s="72">
        <f t="shared" si="0"/>
        <v>16.5</v>
      </c>
      <c r="K9" s="50">
        <f t="shared" si="1"/>
        <v>0.2</v>
      </c>
      <c r="L9" s="100">
        <f t="shared" si="18"/>
        <v>-1.6262626262626263</v>
      </c>
      <c r="M9" s="134">
        <f t="shared" si="19"/>
        <v>0.16666666666666666</v>
      </c>
      <c r="O9" s="28">
        <f t="shared" si="11"/>
        <v>5</v>
      </c>
      <c r="P9" s="53">
        <v>175</v>
      </c>
      <c r="Q9" s="57">
        <v>192.5</v>
      </c>
      <c r="R9" s="177">
        <v>100</v>
      </c>
      <c r="S9" s="188">
        <v>110</v>
      </c>
      <c r="T9" s="177">
        <v>125</v>
      </c>
      <c r="U9" s="67">
        <v>137.5</v>
      </c>
      <c r="V9" s="11">
        <v>285</v>
      </c>
      <c r="W9" s="72">
        <f t="shared" si="2"/>
        <v>82.5</v>
      </c>
      <c r="X9" s="135">
        <f t="shared" si="20"/>
        <v>-0.25</v>
      </c>
      <c r="Y9" s="94">
        <f t="shared" si="21"/>
        <v>-1.5909090909090908</v>
      </c>
      <c r="AA9" s="28">
        <f t="shared" si="12"/>
        <v>5</v>
      </c>
      <c r="AB9" s="53">
        <v>200</v>
      </c>
      <c r="AC9" s="57">
        <v>220</v>
      </c>
      <c r="AD9" s="177">
        <v>125</v>
      </c>
      <c r="AE9" s="188">
        <v>137.5</v>
      </c>
      <c r="AF9" s="177">
        <v>250</v>
      </c>
      <c r="AG9" s="67">
        <v>275</v>
      </c>
      <c r="AH9" s="11">
        <v>285</v>
      </c>
      <c r="AI9" s="72">
        <f t="shared" si="3"/>
        <v>137.5</v>
      </c>
      <c r="AJ9" s="139">
        <f t="shared" si="22"/>
        <v>-0.5</v>
      </c>
      <c r="AK9" s="94">
        <f t="shared" si="23"/>
        <v>-0.51754385964912286</v>
      </c>
      <c r="AM9" s="28">
        <f t="shared" si="13"/>
        <v>5</v>
      </c>
      <c r="AN9" s="53">
        <v>350</v>
      </c>
      <c r="AO9" s="57">
        <v>385</v>
      </c>
      <c r="AP9" s="177">
        <v>140</v>
      </c>
      <c r="AQ9" s="188">
        <v>154</v>
      </c>
      <c r="AR9" s="177">
        <v>275</v>
      </c>
      <c r="AS9" s="67">
        <v>302.5</v>
      </c>
      <c r="AT9" s="11">
        <v>341.25</v>
      </c>
      <c r="AU9" s="72">
        <f t="shared" si="4"/>
        <v>231</v>
      </c>
      <c r="AV9" s="50">
        <f t="shared" si="5"/>
        <v>1.5</v>
      </c>
      <c r="AW9" s="139">
        <f t="shared" si="14"/>
        <v>-0.49090909090909091</v>
      </c>
      <c r="AX9" s="94">
        <f t="shared" si="24"/>
        <v>-0.54871794871794877</v>
      </c>
      <c r="AZ9" s="28">
        <f t="shared" si="15"/>
        <v>5</v>
      </c>
      <c r="BA9" s="53">
        <v>350</v>
      </c>
      <c r="BB9" s="57">
        <v>385</v>
      </c>
      <c r="BC9" s="177">
        <v>150</v>
      </c>
      <c r="BD9" s="188">
        <v>165</v>
      </c>
      <c r="BE9" s="177">
        <v>250</v>
      </c>
      <c r="BF9" s="67">
        <v>275</v>
      </c>
      <c r="BG9" s="11">
        <v>361.25</v>
      </c>
      <c r="BH9" s="72">
        <f t="shared" si="6"/>
        <v>220</v>
      </c>
      <c r="BI9" s="50">
        <f t="shared" si="7"/>
        <v>1.3333333333333333</v>
      </c>
      <c r="BJ9" s="50">
        <f t="shared" si="25"/>
        <v>-0.54325259515570934</v>
      </c>
      <c r="BK9" s="135">
        <f>(BC9-BE9)/BE9</f>
        <v>-0.4</v>
      </c>
      <c r="BM9" s="28">
        <f t="shared" si="17"/>
        <v>5</v>
      </c>
      <c r="BN9" s="53">
        <v>350</v>
      </c>
      <c r="BO9" s="57">
        <v>385</v>
      </c>
      <c r="BP9" s="177">
        <v>225</v>
      </c>
      <c r="BQ9" s="188">
        <v>247.5</v>
      </c>
      <c r="BR9" s="177">
        <v>300</v>
      </c>
      <c r="BS9" s="67">
        <v>330</v>
      </c>
      <c r="BT9" s="67">
        <v>436.25</v>
      </c>
      <c r="BU9" s="72">
        <f t="shared" si="8"/>
        <v>137.5</v>
      </c>
      <c r="BV9" s="50">
        <f t="shared" si="9"/>
        <v>0.55555555555555558</v>
      </c>
      <c r="BW9" s="135">
        <f>(BP9-BR9)/BR9</f>
        <v>-0.25</v>
      </c>
    </row>
    <row r="10" spans="1:75" x14ac:dyDescent="0.3">
      <c r="A10" s="48">
        <v>6</v>
      </c>
      <c r="B10" s="16">
        <f t="shared" si="10"/>
        <v>6</v>
      </c>
      <c r="C10" s="69">
        <v>90</v>
      </c>
      <c r="D10" s="70">
        <v>99</v>
      </c>
      <c r="E10" s="65">
        <v>108</v>
      </c>
      <c r="F10" s="66">
        <v>118.8</v>
      </c>
      <c r="G10" s="177">
        <v>90</v>
      </c>
      <c r="H10" s="71">
        <v>99</v>
      </c>
      <c r="I10" s="72">
        <v>311.5</v>
      </c>
      <c r="J10" s="72">
        <f t="shared" si="0"/>
        <v>19.799999999999997</v>
      </c>
      <c r="K10" s="50">
        <f t="shared" si="1"/>
        <v>0.19999999999999998</v>
      </c>
      <c r="L10" s="100">
        <f t="shared" si="18"/>
        <v>-1.622053872053872</v>
      </c>
      <c r="M10" s="134">
        <f t="shared" si="19"/>
        <v>0.16666666666666666</v>
      </c>
      <c r="O10" s="28">
        <f t="shared" si="11"/>
        <v>6</v>
      </c>
      <c r="P10" s="53">
        <v>210</v>
      </c>
      <c r="Q10" s="57">
        <v>231</v>
      </c>
      <c r="R10" s="177">
        <v>120</v>
      </c>
      <c r="S10" s="188">
        <v>132</v>
      </c>
      <c r="T10" s="177">
        <v>150</v>
      </c>
      <c r="U10" s="67">
        <v>165</v>
      </c>
      <c r="V10" s="11">
        <v>341.5</v>
      </c>
      <c r="W10" s="72">
        <f t="shared" si="2"/>
        <v>99</v>
      </c>
      <c r="X10" s="135">
        <f t="shared" si="20"/>
        <v>-0.25</v>
      </c>
      <c r="Y10" s="94">
        <f t="shared" si="21"/>
        <v>-1.5871212121212122</v>
      </c>
      <c r="AA10" s="28">
        <f t="shared" si="12"/>
        <v>6</v>
      </c>
      <c r="AB10" s="53">
        <v>240</v>
      </c>
      <c r="AC10" s="57">
        <v>264</v>
      </c>
      <c r="AD10" s="177">
        <v>150</v>
      </c>
      <c r="AE10" s="188">
        <v>165</v>
      </c>
      <c r="AF10" s="177">
        <v>300</v>
      </c>
      <c r="AG10" s="67">
        <v>330</v>
      </c>
      <c r="AH10" s="11">
        <v>341.5</v>
      </c>
      <c r="AI10" s="72">
        <f t="shared" si="3"/>
        <v>165</v>
      </c>
      <c r="AJ10" s="139">
        <f t="shared" si="22"/>
        <v>-0.5</v>
      </c>
      <c r="AK10" s="94">
        <f t="shared" si="23"/>
        <v>-0.5168374816983895</v>
      </c>
      <c r="AM10" s="28">
        <f t="shared" si="13"/>
        <v>6</v>
      </c>
      <c r="AN10" s="53">
        <v>420</v>
      </c>
      <c r="AO10" s="57">
        <v>462</v>
      </c>
      <c r="AP10" s="177">
        <v>168</v>
      </c>
      <c r="AQ10" s="188">
        <v>184.8</v>
      </c>
      <c r="AR10" s="177">
        <v>330</v>
      </c>
      <c r="AS10" s="67">
        <v>363</v>
      </c>
      <c r="AT10" s="11">
        <v>408.75</v>
      </c>
      <c r="AU10" s="72">
        <f t="shared" si="4"/>
        <v>277.2</v>
      </c>
      <c r="AV10" s="50">
        <f t="shared" si="5"/>
        <v>1.4999999999999998</v>
      </c>
      <c r="AW10" s="139">
        <f t="shared" si="14"/>
        <v>-0.49090909090909091</v>
      </c>
      <c r="AX10" s="94">
        <f t="shared" si="24"/>
        <v>-0.54788990825688066</v>
      </c>
      <c r="AZ10" s="28">
        <f t="shared" si="15"/>
        <v>6</v>
      </c>
      <c r="BA10" s="53">
        <v>420</v>
      </c>
      <c r="BB10" s="57">
        <v>462</v>
      </c>
      <c r="BC10" s="177">
        <v>180</v>
      </c>
      <c r="BD10" s="188">
        <v>198</v>
      </c>
      <c r="BE10" s="177">
        <v>300</v>
      </c>
      <c r="BF10" s="67">
        <v>330</v>
      </c>
      <c r="BG10" s="11">
        <v>432.75</v>
      </c>
      <c r="BH10" s="72">
        <f t="shared" si="6"/>
        <v>264</v>
      </c>
      <c r="BI10" s="50">
        <f t="shared" si="7"/>
        <v>1.3333333333333333</v>
      </c>
      <c r="BJ10" s="50">
        <f t="shared" si="25"/>
        <v>-0.54246100519930673</v>
      </c>
      <c r="BK10" s="135">
        <f t="shared" si="16"/>
        <v>-0.4</v>
      </c>
      <c r="BM10" s="28">
        <f t="shared" si="17"/>
        <v>6</v>
      </c>
      <c r="BN10" s="53">
        <v>420</v>
      </c>
      <c r="BO10" s="57">
        <v>462</v>
      </c>
      <c r="BP10" s="177">
        <v>270</v>
      </c>
      <c r="BQ10" s="188">
        <v>297</v>
      </c>
      <c r="BR10" s="177">
        <v>360</v>
      </c>
      <c r="BS10" s="67">
        <v>396</v>
      </c>
      <c r="BT10" s="67">
        <v>522.75</v>
      </c>
      <c r="BU10" s="72">
        <f t="shared" si="8"/>
        <v>165</v>
      </c>
      <c r="BV10" s="50">
        <f t="shared" si="9"/>
        <v>0.55555555555555558</v>
      </c>
      <c r="BW10" s="135">
        <f t="shared" ref="BW10:BW54" si="27">(BP10-BR10)/BR10</f>
        <v>-0.25</v>
      </c>
    </row>
    <row r="11" spans="1:75" x14ac:dyDescent="0.3">
      <c r="A11" s="48">
        <v>7</v>
      </c>
      <c r="B11" s="16">
        <f t="shared" si="10"/>
        <v>7</v>
      </c>
      <c r="C11" s="69">
        <v>105</v>
      </c>
      <c r="D11" s="70">
        <v>115.5</v>
      </c>
      <c r="E11" s="65">
        <v>126</v>
      </c>
      <c r="F11" s="66">
        <v>138.6</v>
      </c>
      <c r="G11" s="177">
        <v>105</v>
      </c>
      <c r="H11" s="71">
        <v>115.5</v>
      </c>
      <c r="I11" s="72">
        <v>363</v>
      </c>
      <c r="J11" s="72">
        <f t="shared" si="0"/>
        <v>23.099999999999994</v>
      </c>
      <c r="K11" s="50">
        <f t="shared" si="1"/>
        <v>0.19999999999999996</v>
      </c>
      <c r="L11" s="100">
        <f t="shared" si="18"/>
        <v>-1.6190476190476191</v>
      </c>
      <c r="M11" s="134">
        <f t="shared" si="19"/>
        <v>0.16666666666666663</v>
      </c>
      <c r="O11" s="28">
        <f t="shared" si="11"/>
        <v>7</v>
      </c>
      <c r="P11" s="53">
        <v>245</v>
      </c>
      <c r="Q11" s="57">
        <v>269.5</v>
      </c>
      <c r="R11" s="177">
        <v>140</v>
      </c>
      <c r="S11" s="188">
        <v>154</v>
      </c>
      <c r="T11" s="177">
        <v>175</v>
      </c>
      <c r="U11" s="67">
        <v>192.5</v>
      </c>
      <c r="V11" s="11">
        <v>398</v>
      </c>
      <c r="W11" s="72">
        <f t="shared" si="2"/>
        <v>115.5</v>
      </c>
      <c r="X11" s="135">
        <f t="shared" si="20"/>
        <v>-0.25</v>
      </c>
      <c r="Y11" s="94">
        <f t="shared" si="21"/>
        <v>-1.5844155844155845</v>
      </c>
      <c r="AA11" s="28">
        <f t="shared" si="12"/>
        <v>7</v>
      </c>
      <c r="AB11" s="53">
        <v>280</v>
      </c>
      <c r="AC11" s="57">
        <v>308</v>
      </c>
      <c r="AD11" s="177">
        <v>175</v>
      </c>
      <c r="AE11" s="188">
        <v>192.5</v>
      </c>
      <c r="AF11" s="177">
        <v>350</v>
      </c>
      <c r="AG11" s="67">
        <v>385</v>
      </c>
      <c r="AH11" s="11">
        <v>398</v>
      </c>
      <c r="AI11" s="72">
        <f t="shared" si="3"/>
        <v>192.5</v>
      </c>
      <c r="AJ11" s="139">
        <f t="shared" si="22"/>
        <v>-0.5</v>
      </c>
      <c r="AK11" s="94">
        <f t="shared" si="23"/>
        <v>-0.51633165829145733</v>
      </c>
      <c r="AM11" s="28">
        <f t="shared" si="13"/>
        <v>7</v>
      </c>
      <c r="AN11" s="53">
        <v>490</v>
      </c>
      <c r="AO11" s="57">
        <v>539</v>
      </c>
      <c r="AP11" s="177">
        <v>196</v>
      </c>
      <c r="AQ11" s="188">
        <v>215.6</v>
      </c>
      <c r="AR11" s="177">
        <v>385</v>
      </c>
      <c r="AS11" s="67">
        <v>423.5</v>
      </c>
      <c r="AT11" s="11">
        <v>476.25</v>
      </c>
      <c r="AU11" s="72">
        <f t="shared" si="4"/>
        <v>323.39999999999998</v>
      </c>
      <c r="AV11" s="50">
        <f t="shared" si="5"/>
        <v>1.5</v>
      </c>
      <c r="AW11" s="139">
        <f t="shared" si="14"/>
        <v>-0.49090909090909091</v>
      </c>
      <c r="AX11" s="94">
        <f t="shared" si="24"/>
        <v>-0.54729658792650915</v>
      </c>
      <c r="AZ11" s="28">
        <f t="shared" si="15"/>
        <v>7</v>
      </c>
      <c r="BA11" s="53">
        <v>490</v>
      </c>
      <c r="BB11" s="57">
        <v>539</v>
      </c>
      <c r="BC11" s="177">
        <v>210</v>
      </c>
      <c r="BD11" s="188">
        <v>231</v>
      </c>
      <c r="BE11" s="177">
        <v>350</v>
      </c>
      <c r="BF11" s="67">
        <v>385</v>
      </c>
      <c r="BG11" s="11">
        <v>504.25</v>
      </c>
      <c r="BH11" s="72">
        <f t="shared" si="6"/>
        <v>308</v>
      </c>
      <c r="BI11" s="50">
        <f t="shared" si="7"/>
        <v>1.3333333333333333</v>
      </c>
      <c r="BJ11" s="50">
        <f t="shared" si="25"/>
        <v>-0.54189390183440755</v>
      </c>
      <c r="BK11" s="135">
        <f t="shared" si="16"/>
        <v>-0.4</v>
      </c>
      <c r="BM11" s="28">
        <f t="shared" si="17"/>
        <v>7</v>
      </c>
      <c r="BN11" s="53">
        <v>490</v>
      </c>
      <c r="BO11" s="57">
        <v>539</v>
      </c>
      <c r="BP11" s="177">
        <v>315</v>
      </c>
      <c r="BQ11" s="188">
        <v>346.5</v>
      </c>
      <c r="BR11" s="177">
        <v>420</v>
      </c>
      <c r="BS11" s="67">
        <v>462</v>
      </c>
      <c r="BT11" s="67">
        <v>609.25</v>
      </c>
      <c r="BU11" s="72">
        <f t="shared" si="8"/>
        <v>192.5</v>
      </c>
      <c r="BV11" s="50">
        <f t="shared" si="9"/>
        <v>0.55555555555555558</v>
      </c>
      <c r="BW11" s="135">
        <f t="shared" si="27"/>
        <v>-0.25</v>
      </c>
    </row>
    <row r="12" spans="1:75" x14ac:dyDescent="0.3">
      <c r="A12" s="48">
        <v>8</v>
      </c>
      <c r="B12" s="16">
        <f t="shared" si="10"/>
        <v>8</v>
      </c>
      <c r="C12" s="69">
        <v>120</v>
      </c>
      <c r="D12" s="70">
        <v>132</v>
      </c>
      <c r="E12" s="65">
        <v>144</v>
      </c>
      <c r="F12" s="66">
        <v>158.4</v>
      </c>
      <c r="G12" s="177">
        <v>120</v>
      </c>
      <c r="H12" s="71">
        <v>132</v>
      </c>
      <c r="I12" s="72">
        <v>414.5</v>
      </c>
      <c r="J12" s="72">
        <f t="shared" si="0"/>
        <v>26.400000000000006</v>
      </c>
      <c r="K12" s="50">
        <f t="shared" si="1"/>
        <v>0.20000000000000004</v>
      </c>
      <c r="L12" s="100">
        <f t="shared" si="18"/>
        <v>-1.6167929292929293</v>
      </c>
      <c r="M12" s="134">
        <f t="shared" si="19"/>
        <v>0.16666666666666669</v>
      </c>
      <c r="O12" s="28">
        <f t="shared" si="11"/>
        <v>8</v>
      </c>
      <c r="P12" s="53">
        <v>280</v>
      </c>
      <c r="Q12" s="57">
        <v>308</v>
      </c>
      <c r="R12" s="177">
        <v>160</v>
      </c>
      <c r="S12" s="188">
        <v>176</v>
      </c>
      <c r="T12" s="177">
        <v>200</v>
      </c>
      <c r="U12" s="67">
        <v>220</v>
      </c>
      <c r="V12" s="11">
        <v>454.5</v>
      </c>
      <c r="W12" s="72">
        <f t="shared" si="2"/>
        <v>132</v>
      </c>
      <c r="X12" s="135">
        <f t="shared" si="20"/>
        <v>-0.25</v>
      </c>
      <c r="Y12" s="94">
        <f t="shared" si="21"/>
        <v>-1.5823863636363635</v>
      </c>
      <c r="AA12" s="28">
        <f t="shared" si="12"/>
        <v>8</v>
      </c>
      <c r="AB12" s="53">
        <v>320</v>
      </c>
      <c r="AC12" s="57">
        <v>352</v>
      </c>
      <c r="AD12" s="177">
        <v>200</v>
      </c>
      <c r="AE12" s="188">
        <v>220</v>
      </c>
      <c r="AF12" s="177">
        <v>400</v>
      </c>
      <c r="AG12" s="67">
        <v>440</v>
      </c>
      <c r="AH12" s="11">
        <v>454.5</v>
      </c>
      <c r="AI12" s="72">
        <f t="shared" si="3"/>
        <v>220</v>
      </c>
      <c r="AJ12" s="139">
        <f t="shared" si="22"/>
        <v>-0.5</v>
      </c>
      <c r="AK12" s="94">
        <f t="shared" si="23"/>
        <v>-0.51595159515951594</v>
      </c>
      <c r="AM12" s="28">
        <f t="shared" si="13"/>
        <v>8</v>
      </c>
      <c r="AN12" s="53">
        <v>560</v>
      </c>
      <c r="AO12" s="57">
        <v>616</v>
      </c>
      <c r="AP12" s="177">
        <v>224</v>
      </c>
      <c r="AQ12" s="188">
        <v>246.4</v>
      </c>
      <c r="AR12" s="177">
        <v>440</v>
      </c>
      <c r="AS12" s="67">
        <v>484</v>
      </c>
      <c r="AT12" s="11">
        <v>543.75</v>
      </c>
      <c r="AU12" s="72">
        <f t="shared" si="4"/>
        <v>369.6</v>
      </c>
      <c r="AV12" s="50">
        <f t="shared" si="5"/>
        <v>1.5</v>
      </c>
      <c r="AW12" s="139">
        <f t="shared" si="14"/>
        <v>-0.49090909090909091</v>
      </c>
      <c r="AX12" s="94">
        <f t="shared" si="24"/>
        <v>-0.54685057471264376</v>
      </c>
      <c r="AZ12" s="28">
        <f t="shared" si="15"/>
        <v>8</v>
      </c>
      <c r="BA12" s="53">
        <v>560</v>
      </c>
      <c r="BB12" s="57">
        <v>616</v>
      </c>
      <c r="BC12" s="177">
        <v>240</v>
      </c>
      <c r="BD12" s="188">
        <v>264</v>
      </c>
      <c r="BE12" s="177">
        <v>400</v>
      </c>
      <c r="BF12" s="67">
        <v>440</v>
      </c>
      <c r="BG12" s="11">
        <v>575.75</v>
      </c>
      <c r="BH12" s="72">
        <f t="shared" si="6"/>
        <v>352</v>
      </c>
      <c r="BI12" s="50">
        <f t="shared" si="7"/>
        <v>1.3333333333333333</v>
      </c>
      <c r="BJ12" s="50">
        <f t="shared" si="25"/>
        <v>-0.54146765089014326</v>
      </c>
      <c r="BK12" s="135">
        <f t="shared" si="16"/>
        <v>-0.4</v>
      </c>
      <c r="BM12" s="28">
        <f t="shared" si="17"/>
        <v>8</v>
      </c>
      <c r="BN12" s="53">
        <v>560</v>
      </c>
      <c r="BO12" s="57">
        <v>616</v>
      </c>
      <c r="BP12" s="177">
        <v>360</v>
      </c>
      <c r="BQ12" s="188">
        <v>396</v>
      </c>
      <c r="BR12" s="177">
        <v>480</v>
      </c>
      <c r="BS12" s="67">
        <v>528</v>
      </c>
      <c r="BT12" s="67">
        <v>695.75</v>
      </c>
      <c r="BU12" s="72">
        <f t="shared" si="8"/>
        <v>220</v>
      </c>
      <c r="BV12" s="50">
        <f t="shared" si="9"/>
        <v>0.55555555555555558</v>
      </c>
      <c r="BW12" s="135">
        <f t="shared" si="27"/>
        <v>-0.25</v>
      </c>
    </row>
    <row r="13" spans="1:75" x14ac:dyDescent="0.3">
      <c r="A13" s="48">
        <v>9</v>
      </c>
      <c r="B13" s="16">
        <f t="shared" si="10"/>
        <v>9</v>
      </c>
      <c r="C13" s="69">
        <v>135</v>
      </c>
      <c r="D13" s="70">
        <v>148.5</v>
      </c>
      <c r="E13" s="65">
        <v>162</v>
      </c>
      <c r="F13" s="66">
        <v>178.2</v>
      </c>
      <c r="G13" s="177">
        <v>135</v>
      </c>
      <c r="H13" s="71">
        <v>148.5</v>
      </c>
      <c r="I13" s="72">
        <v>466</v>
      </c>
      <c r="J13" s="72">
        <f t="shared" si="0"/>
        <v>29.699999999999989</v>
      </c>
      <c r="K13" s="50">
        <f t="shared" si="1"/>
        <v>0.19999999999999993</v>
      </c>
      <c r="L13" s="100">
        <f t="shared" si="18"/>
        <v>-1.6150392817059485</v>
      </c>
      <c r="M13" s="134">
        <f t="shared" si="19"/>
        <v>0.1666666666666666</v>
      </c>
      <c r="O13" s="28">
        <f t="shared" si="11"/>
        <v>9</v>
      </c>
      <c r="P13" s="53">
        <v>315</v>
      </c>
      <c r="Q13" s="57">
        <v>346.5</v>
      </c>
      <c r="R13" s="177">
        <v>180</v>
      </c>
      <c r="S13" s="188">
        <v>198</v>
      </c>
      <c r="T13" s="177">
        <v>225</v>
      </c>
      <c r="U13" s="67">
        <v>247.5</v>
      </c>
      <c r="V13" s="11">
        <v>511</v>
      </c>
      <c r="W13" s="72">
        <f t="shared" si="2"/>
        <v>148.5</v>
      </c>
      <c r="X13" s="135">
        <f t="shared" si="20"/>
        <v>-0.25</v>
      </c>
      <c r="Y13" s="94">
        <f t="shared" si="21"/>
        <v>-1.5808080808080809</v>
      </c>
      <c r="AA13" s="28">
        <f t="shared" si="12"/>
        <v>9</v>
      </c>
      <c r="AB13" s="53">
        <v>360</v>
      </c>
      <c r="AC13" s="57">
        <v>396</v>
      </c>
      <c r="AD13" s="177">
        <v>225</v>
      </c>
      <c r="AE13" s="188">
        <v>247.5</v>
      </c>
      <c r="AF13" s="177">
        <v>450</v>
      </c>
      <c r="AG13" s="67">
        <v>495</v>
      </c>
      <c r="AH13" s="11">
        <v>511</v>
      </c>
      <c r="AI13" s="72">
        <f t="shared" si="3"/>
        <v>247.5</v>
      </c>
      <c r="AJ13" s="139">
        <f t="shared" si="22"/>
        <v>-0.5</v>
      </c>
      <c r="AK13" s="94">
        <f t="shared" si="23"/>
        <v>-0.51565557729941291</v>
      </c>
      <c r="AM13" s="28">
        <f t="shared" si="13"/>
        <v>9</v>
      </c>
      <c r="AN13" s="53">
        <v>630</v>
      </c>
      <c r="AO13" s="57">
        <v>693</v>
      </c>
      <c r="AP13" s="177">
        <v>252</v>
      </c>
      <c r="AQ13" s="188">
        <v>277.2</v>
      </c>
      <c r="AR13" s="177">
        <v>495</v>
      </c>
      <c r="AS13" s="67">
        <v>544.5</v>
      </c>
      <c r="AT13" s="11">
        <v>611.25</v>
      </c>
      <c r="AU13" s="72">
        <f t="shared" si="4"/>
        <v>415.8</v>
      </c>
      <c r="AV13" s="50">
        <f t="shared" si="5"/>
        <v>1.5</v>
      </c>
      <c r="AW13" s="139">
        <f t="shared" si="14"/>
        <v>-0.49090909090909091</v>
      </c>
      <c r="AX13" s="94">
        <f t="shared" si="24"/>
        <v>-0.5465030674846626</v>
      </c>
      <c r="AZ13" s="28">
        <f t="shared" si="15"/>
        <v>9</v>
      </c>
      <c r="BA13" s="53">
        <v>630</v>
      </c>
      <c r="BB13" s="57">
        <v>693</v>
      </c>
      <c r="BC13" s="177">
        <v>270</v>
      </c>
      <c r="BD13" s="188">
        <v>297</v>
      </c>
      <c r="BE13" s="177">
        <v>450</v>
      </c>
      <c r="BF13" s="67">
        <v>495</v>
      </c>
      <c r="BG13" s="11">
        <v>647.25</v>
      </c>
      <c r="BH13" s="72">
        <f t="shared" si="6"/>
        <v>396</v>
      </c>
      <c r="BI13" s="50">
        <f t="shared" si="7"/>
        <v>1.3333333333333333</v>
      </c>
      <c r="BJ13" s="50">
        <f t="shared" si="25"/>
        <v>-0.54113557358053299</v>
      </c>
      <c r="BK13" s="135">
        <f t="shared" si="16"/>
        <v>-0.4</v>
      </c>
      <c r="BM13" s="28">
        <f t="shared" si="17"/>
        <v>9</v>
      </c>
      <c r="BN13" s="53">
        <v>630</v>
      </c>
      <c r="BO13" s="57">
        <v>693</v>
      </c>
      <c r="BP13" s="177">
        <v>405</v>
      </c>
      <c r="BQ13" s="188">
        <v>445.5</v>
      </c>
      <c r="BR13" s="177">
        <v>540</v>
      </c>
      <c r="BS13" s="67">
        <v>594</v>
      </c>
      <c r="BT13" s="67">
        <v>782.25</v>
      </c>
      <c r="BU13" s="72">
        <f t="shared" si="8"/>
        <v>247.5</v>
      </c>
      <c r="BV13" s="50">
        <f t="shared" si="9"/>
        <v>0.55555555555555558</v>
      </c>
      <c r="BW13" s="135">
        <f t="shared" si="27"/>
        <v>-0.25</v>
      </c>
    </row>
    <row r="14" spans="1:75" x14ac:dyDescent="0.3">
      <c r="A14" s="48">
        <v>10</v>
      </c>
      <c r="B14" s="16">
        <f t="shared" si="10"/>
        <v>10</v>
      </c>
      <c r="C14" s="69">
        <v>150</v>
      </c>
      <c r="D14" s="70">
        <v>165</v>
      </c>
      <c r="E14" s="65">
        <v>180</v>
      </c>
      <c r="F14" s="66">
        <v>198</v>
      </c>
      <c r="G14" s="177">
        <v>150</v>
      </c>
      <c r="H14" s="71">
        <v>165</v>
      </c>
      <c r="I14" s="72">
        <v>517.5</v>
      </c>
      <c r="J14" s="72">
        <f t="shared" si="0"/>
        <v>33</v>
      </c>
      <c r="K14" s="50">
        <f t="shared" si="1"/>
        <v>0.2</v>
      </c>
      <c r="L14" s="100">
        <f t="shared" si="18"/>
        <v>-1.6136363636363635</v>
      </c>
      <c r="M14" s="134">
        <f t="shared" si="19"/>
        <v>0.16666666666666666</v>
      </c>
      <c r="O14" s="28">
        <f t="shared" si="11"/>
        <v>10</v>
      </c>
      <c r="P14" s="53">
        <v>350</v>
      </c>
      <c r="Q14" s="57">
        <v>385</v>
      </c>
      <c r="R14" s="177">
        <v>200</v>
      </c>
      <c r="S14" s="188">
        <v>220</v>
      </c>
      <c r="T14" s="177">
        <v>250</v>
      </c>
      <c r="U14" s="67">
        <v>275</v>
      </c>
      <c r="V14" s="11">
        <v>567.5</v>
      </c>
      <c r="W14" s="72">
        <f t="shared" si="2"/>
        <v>165</v>
      </c>
      <c r="X14" s="135">
        <f t="shared" si="20"/>
        <v>-0.25</v>
      </c>
      <c r="Y14" s="94">
        <f t="shared" si="21"/>
        <v>-1.5795454545454546</v>
      </c>
      <c r="AA14" s="28">
        <f t="shared" si="12"/>
        <v>10</v>
      </c>
      <c r="AB14" s="53">
        <v>400</v>
      </c>
      <c r="AC14" s="57">
        <v>440</v>
      </c>
      <c r="AD14" s="177">
        <v>250</v>
      </c>
      <c r="AE14" s="188">
        <v>275</v>
      </c>
      <c r="AF14" s="177">
        <v>500</v>
      </c>
      <c r="AG14" s="67">
        <v>550</v>
      </c>
      <c r="AH14" s="11">
        <v>567.5</v>
      </c>
      <c r="AI14" s="72">
        <f t="shared" si="3"/>
        <v>275</v>
      </c>
      <c r="AJ14" s="139">
        <f t="shared" si="22"/>
        <v>-0.5</v>
      </c>
      <c r="AK14" s="94">
        <f t="shared" si="23"/>
        <v>-0.51541850220264318</v>
      </c>
      <c r="AM14" s="28">
        <f t="shared" si="13"/>
        <v>10</v>
      </c>
      <c r="AN14" s="53">
        <v>700</v>
      </c>
      <c r="AO14" s="57">
        <v>770</v>
      </c>
      <c r="AP14" s="177">
        <v>280</v>
      </c>
      <c r="AQ14" s="188">
        <v>308</v>
      </c>
      <c r="AR14" s="177">
        <v>550</v>
      </c>
      <c r="AS14" s="67">
        <v>605</v>
      </c>
      <c r="AT14" s="11">
        <v>678.75</v>
      </c>
      <c r="AU14" s="72">
        <f t="shared" si="4"/>
        <v>462</v>
      </c>
      <c r="AV14" s="50">
        <f t="shared" si="5"/>
        <v>1.5</v>
      </c>
      <c r="AW14" s="139">
        <f t="shared" si="14"/>
        <v>-0.49090909090909091</v>
      </c>
      <c r="AX14" s="94">
        <f t="shared" si="24"/>
        <v>-0.54622467771639038</v>
      </c>
      <c r="AZ14" s="28">
        <f t="shared" si="15"/>
        <v>10</v>
      </c>
      <c r="BA14" s="53">
        <v>700</v>
      </c>
      <c r="BB14" s="57">
        <v>770</v>
      </c>
      <c r="BC14" s="177">
        <v>300</v>
      </c>
      <c r="BD14" s="188">
        <v>330</v>
      </c>
      <c r="BE14" s="177">
        <v>500</v>
      </c>
      <c r="BF14" s="67">
        <v>550</v>
      </c>
      <c r="BG14" s="11">
        <v>718.75</v>
      </c>
      <c r="BH14" s="72">
        <f t="shared" si="6"/>
        <v>440</v>
      </c>
      <c r="BI14" s="50">
        <f t="shared" si="7"/>
        <v>1.3333333333333333</v>
      </c>
      <c r="BJ14" s="50">
        <f t="shared" si="25"/>
        <v>-0.54086956521739127</v>
      </c>
      <c r="BK14" s="135">
        <f t="shared" si="16"/>
        <v>-0.4</v>
      </c>
      <c r="BM14" s="28">
        <f t="shared" si="17"/>
        <v>10</v>
      </c>
      <c r="BN14" s="53">
        <v>700</v>
      </c>
      <c r="BO14" s="57">
        <v>770</v>
      </c>
      <c r="BP14" s="177">
        <v>450</v>
      </c>
      <c r="BQ14" s="188">
        <v>495</v>
      </c>
      <c r="BR14" s="177">
        <v>600</v>
      </c>
      <c r="BS14" s="67">
        <v>660</v>
      </c>
      <c r="BT14" s="67">
        <v>868.75</v>
      </c>
      <c r="BU14" s="72">
        <f t="shared" si="8"/>
        <v>275</v>
      </c>
      <c r="BV14" s="50">
        <f t="shared" si="9"/>
        <v>0.55555555555555558</v>
      </c>
      <c r="BW14" s="135">
        <f t="shared" si="27"/>
        <v>-0.25</v>
      </c>
    </row>
    <row r="15" spans="1:75" x14ac:dyDescent="0.3">
      <c r="A15" s="48">
        <v>11</v>
      </c>
      <c r="B15" s="16">
        <f t="shared" si="10"/>
        <v>11</v>
      </c>
      <c r="C15" s="69">
        <v>165</v>
      </c>
      <c r="D15" s="70">
        <v>181.5</v>
      </c>
      <c r="E15" s="65">
        <v>198</v>
      </c>
      <c r="F15" s="66">
        <v>217.8</v>
      </c>
      <c r="G15" s="177">
        <v>165</v>
      </c>
      <c r="H15" s="71">
        <v>181.5</v>
      </c>
      <c r="I15" s="72">
        <v>569</v>
      </c>
      <c r="J15" s="72">
        <f t="shared" si="0"/>
        <v>36.300000000000011</v>
      </c>
      <c r="K15" s="50">
        <f t="shared" si="1"/>
        <v>0.20000000000000007</v>
      </c>
      <c r="L15" s="100">
        <f t="shared" si="18"/>
        <v>-1.6124885215794305</v>
      </c>
      <c r="M15" s="134">
        <f t="shared" si="19"/>
        <v>0.16666666666666671</v>
      </c>
      <c r="O15" s="28">
        <f t="shared" si="11"/>
        <v>11</v>
      </c>
      <c r="P15" s="53">
        <v>385</v>
      </c>
      <c r="Q15" s="57">
        <v>423.5</v>
      </c>
      <c r="R15" s="177">
        <v>220</v>
      </c>
      <c r="S15" s="188">
        <v>242</v>
      </c>
      <c r="T15" s="177">
        <v>275</v>
      </c>
      <c r="U15" s="67">
        <v>302.5</v>
      </c>
      <c r="V15" s="11">
        <v>624</v>
      </c>
      <c r="W15" s="72">
        <f t="shared" si="2"/>
        <v>181.5</v>
      </c>
      <c r="X15" s="135">
        <f t="shared" si="20"/>
        <v>-0.25</v>
      </c>
      <c r="Y15" s="94">
        <f t="shared" si="21"/>
        <v>-1.5785123966942149</v>
      </c>
      <c r="AA15" s="28">
        <f t="shared" si="12"/>
        <v>11</v>
      </c>
      <c r="AB15" s="53">
        <v>440</v>
      </c>
      <c r="AC15" s="57">
        <v>484</v>
      </c>
      <c r="AD15" s="177">
        <v>275</v>
      </c>
      <c r="AE15" s="188">
        <v>302.5</v>
      </c>
      <c r="AF15" s="177">
        <v>550</v>
      </c>
      <c r="AG15" s="67">
        <v>605</v>
      </c>
      <c r="AH15" s="11">
        <v>624</v>
      </c>
      <c r="AI15" s="72">
        <f t="shared" si="3"/>
        <v>302.5</v>
      </c>
      <c r="AJ15" s="139">
        <f t="shared" si="22"/>
        <v>-0.5</v>
      </c>
      <c r="AK15" s="94">
        <f t="shared" si="23"/>
        <v>-0.51522435897435892</v>
      </c>
      <c r="AM15" s="28">
        <f t="shared" si="13"/>
        <v>11</v>
      </c>
      <c r="AN15" s="53">
        <v>770</v>
      </c>
      <c r="AO15" s="57">
        <v>847</v>
      </c>
      <c r="AP15" s="177">
        <v>308</v>
      </c>
      <c r="AQ15" s="188">
        <v>338.8</v>
      </c>
      <c r="AR15" s="177">
        <v>605</v>
      </c>
      <c r="AS15" s="67">
        <v>665.5</v>
      </c>
      <c r="AT15" s="11">
        <v>746.25</v>
      </c>
      <c r="AU15" s="72">
        <f t="shared" si="4"/>
        <v>508.2</v>
      </c>
      <c r="AV15" s="50">
        <f t="shared" si="5"/>
        <v>1.5</v>
      </c>
      <c r="AW15" s="139">
        <f t="shared" si="14"/>
        <v>-0.49090909090909091</v>
      </c>
      <c r="AX15" s="94">
        <f t="shared" si="24"/>
        <v>-0.54599664991624786</v>
      </c>
      <c r="AZ15" s="28">
        <f t="shared" si="15"/>
        <v>11</v>
      </c>
      <c r="BA15" s="53">
        <v>770</v>
      </c>
      <c r="BB15" s="57">
        <v>847</v>
      </c>
      <c r="BC15" s="177">
        <v>330</v>
      </c>
      <c r="BD15" s="188">
        <v>363</v>
      </c>
      <c r="BE15" s="177">
        <v>550</v>
      </c>
      <c r="BF15" s="67">
        <v>605</v>
      </c>
      <c r="BG15" s="11">
        <v>790.25</v>
      </c>
      <c r="BH15" s="72">
        <f t="shared" si="6"/>
        <v>484</v>
      </c>
      <c r="BI15" s="50">
        <f t="shared" si="7"/>
        <v>1.3333333333333333</v>
      </c>
      <c r="BJ15" s="50">
        <f t="shared" si="25"/>
        <v>-0.54065169250237266</v>
      </c>
      <c r="BK15" s="135">
        <f t="shared" si="16"/>
        <v>-0.4</v>
      </c>
      <c r="BM15" s="28">
        <f t="shared" si="17"/>
        <v>11</v>
      </c>
      <c r="BN15" s="53">
        <v>770</v>
      </c>
      <c r="BO15" s="57">
        <v>847</v>
      </c>
      <c r="BP15" s="177">
        <v>495</v>
      </c>
      <c r="BQ15" s="188">
        <v>544.5</v>
      </c>
      <c r="BR15" s="177">
        <v>660</v>
      </c>
      <c r="BS15" s="67">
        <v>726</v>
      </c>
      <c r="BT15" s="67">
        <v>955.25</v>
      </c>
      <c r="BU15" s="72">
        <f t="shared" si="8"/>
        <v>302.5</v>
      </c>
      <c r="BV15" s="50">
        <f t="shared" si="9"/>
        <v>0.55555555555555558</v>
      </c>
      <c r="BW15" s="135">
        <f t="shared" si="27"/>
        <v>-0.25</v>
      </c>
    </row>
    <row r="16" spans="1:75" x14ac:dyDescent="0.3">
      <c r="A16" s="48">
        <v>12</v>
      </c>
      <c r="B16" s="16">
        <f t="shared" si="10"/>
        <v>12</v>
      </c>
      <c r="C16" s="69">
        <v>180</v>
      </c>
      <c r="D16" s="70">
        <v>198</v>
      </c>
      <c r="E16" s="65">
        <v>216</v>
      </c>
      <c r="F16" s="66">
        <v>237.6</v>
      </c>
      <c r="G16" s="177">
        <v>180</v>
      </c>
      <c r="H16" s="71">
        <v>198</v>
      </c>
      <c r="I16" s="72">
        <v>620.5</v>
      </c>
      <c r="J16" s="72">
        <f t="shared" si="0"/>
        <v>39.599999999999994</v>
      </c>
      <c r="K16" s="50">
        <f t="shared" si="1"/>
        <v>0.19999999999999998</v>
      </c>
      <c r="L16" s="100">
        <f t="shared" si="18"/>
        <v>-1.6115319865319864</v>
      </c>
      <c r="M16" s="134">
        <f t="shared" si="19"/>
        <v>0.16666666666666666</v>
      </c>
      <c r="O16" s="28">
        <f t="shared" si="11"/>
        <v>12</v>
      </c>
      <c r="P16" s="53">
        <v>420</v>
      </c>
      <c r="Q16" s="57">
        <v>462</v>
      </c>
      <c r="R16" s="177">
        <v>240</v>
      </c>
      <c r="S16" s="188">
        <v>264</v>
      </c>
      <c r="T16" s="177">
        <v>300</v>
      </c>
      <c r="U16" s="67">
        <v>330</v>
      </c>
      <c r="V16" s="11">
        <v>680.5</v>
      </c>
      <c r="W16" s="72">
        <f t="shared" si="2"/>
        <v>198</v>
      </c>
      <c r="X16" s="135">
        <f t="shared" si="20"/>
        <v>-0.25</v>
      </c>
      <c r="Y16" s="94">
        <f t="shared" si="21"/>
        <v>-1.5776515151515151</v>
      </c>
      <c r="AA16" s="28">
        <f t="shared" si="12"/>
        <v>12</v>
      </c>
      <c r="AB16" s="53">
        <v>480</v>
      </c>
      <c r="AC16" s="57">
        <v>528</v>
      </c>
      <c r="AD16" s="177">
        <v>300</v>
      </c>
      <c r="AE16" s="188">
        <v>330</v>
      </c>
      <c r="AF16" s="177">
        <v>600</v>
      </c>
      <c r="AG16" s="67">
        <v>660</v>
      </c>
      <c r="AH16" s="11">
        <v>680.5</v>
      </c>
      <c r="AI16" s="72">
        <f t="shared" si="3"/>
        <v>330</v>
      </c>
      <c r="AJ16" s="139">
        <f t="shared" si="22"/>
        <v>-0.5</v>
      </c>
      <c r="AK16" s="94">
        <f t="shared" si="23"/>
        <v>-0.51506245407788387</v>
      </c>
      <c r="AM16" s="28">
        <f t="shared" si="13"/>
        <v>12</v>
      </c>
      <c r="AN16" s="53">
        <v>840</v>
      </c>
      <c r="AO16" s="57">
        <v>924</v>
      </c>
      <c r="AP16" s="177">
        <v>336</v>
      </c>
      <c r="AQ16" s="188">
        <v>369.6</v>
      </c>
      <c r="AR16" s="177">
        <v>660</v>
      </c>
      <c r="AS16" s="67">
        <v>726</v>
      </c>
      <c r="AT16" s="11">
        <v>813.75</v>
      </c>
      <c r="AU16" s="72">
        <f t="shared" si="4"/>
        <v>554.4</v>
      </c>
      <c r="AV16" s="50">
        <f t="shared" si="5"/>
        <v>1.4999999999999998</v>
      </c>
      <c r="AW16" s="139">
        <f t="shared" si="14"/>
        <v>-0.49090909090909091</v>
      </c>
      <c r="AX16" s="94">
        <f t="shared" si="24"/>
        <v>-0.5458064516129032</v>
      </c>
      <c r="AZ16" s="28">
        <f t="shared" si="15"/>
        <v>12</v>
      </c>
      <c r="BA16" s="53">
        <v>840</v>
      </c>
      <c r="BB16" s="57">
        <v>924</v>
      </c>
      <c r="BC16" s="177">
        <v>360</v>
      </c>
      <c r="BD16" s="188">
        <v>396</v>
      </c>
      <c r="BE16" s="177">
        <v>600</v>
      </c>
      <c r="BF16" s="67">
        <v>660</v>
      </c>
      <c r="BG16" s="11">
        <v>861.75</v>
      </c>
      <c r="BH16" s="72">
        <f t="shared" si="6"/>
        <v>528</v>
      </c>
      <c r="BI16" s="50">
        <f t="shared" si="7"/>
        <v>1.3333333333333333</v>
      </c>
      <c r="BJ16" s="50">
        <f t="shared" si="25"/>
        <v>-0.54046997389033946</v>
      </c>
      <c r="BK16" s="135">
        <f t="shared" si="16"/>
        <v>-0.4</v>
      </c>
      <c r="BM16" s="28">
        <f t="shared" si="17"/>
        <v>12</v>
      </c>
      <c r="BN16" s="53">
        <v>840</v>
      </c>
      <c r="BO16" s="57">
        <v>924</v>
      </c>
      <c r="BP16" s="177">
        <v>540</v>
      </c>
      <c r="BQ16" s="188">
        <v>594</v>
      </c>
      <c r="BR16" s="177">
        <v>720</v>
      </c>
      <c r="BS16" s="67">
        <v>792</v>
      </c>
      <c r="BT16" s="67">
        <v>1041.75</v>
      </c>
      <c r="BU16" s="72">
        <f t="shared" si="8"/>
        <v>330</v>
      </c>
      <c r="BV16" s="50">
        <f t="shared" si="9"/>
        <v>0.55555555555555558</v>
      </c>
      <c r="BW16" s="135">
        <f t="shared" si="27"/>
        <v>-0.25</v>
      </c>
    </row>
    <row r="17" spans="1:75" x14ac:dyDescent="0.3">
      <c r="A17" s="48">
        <v>13</v>
      </c>
      <c r="B17" s="16">
        <f t="shared" si="10"/>
        <v>13</v>
      </c>
      <c r="C17" s="69">
        <v>195</v>
      </c>
      <c r="D17" s="70">
        <v>214.5</v>
      </c>
      <c r="E17" s="65">
        <v>234</v>
      </c>
      <c r="F17" s="66">
        <v>257.39999999999998</v>
      </c>
      <c r="G17" s="177">
        <v>195</v>
      </c>
      <c r="H17" s="71">
        <v>214.5</v>
      </c>
      <c r="I17" s="72">
        <v>672</v>
      </c>
      <c r="J17" s="72">
        <f t="shared" si="0"/>
        <v>42.899999999999977</v>
      </c>
      <c r="K17" s="50">
        <f t="shared" si="1"/>
        <v>0.1999999999999999</v>
      </c>
      <c r="L17" s="100">
        <f t="shared" si="18"/>
        <v>-1.6107226107226109</v>
      </c>
      <c r="M17" s="134">
        <f t="shared" si="19"/>
        <v>0.1666666666666666</v>
      </c>
      <c r="O17" s="28">
        <f t="shared" si="11"/>
        <v>13</v>
      </c>
      <c r="P17" s="53">
        <v>455</v>
      </c>
      <c r="Q17" s="57">
        <v>500.5</v>
      </c>
      <c r="R17" s="177">
        <v>260</v>
      </c>
      <c r="S17" s="188">
        <v>286</v>
      </c>
      <c r="T17" s="177">
        <v>325</v>
      </c>
      <c r="U17" s="67">
        <v>357.5</v>
      </c>
      <c r="V17" s="11">
        <v>737</v>
      </c>
      <c r="W17" s="72">
        <f t="shared" si="2"/>
        <v>214.5</v>
      </c>
      <c r="X17" s="135">
        <f t="shared" si="20"/>
        <v>-0.25</v>
      </c>
      <c r="Y17" s="94">
        <f t="shared" si="21"/>
        <v>-1.5769230769230769</v>
      </c>
      <c r="AA17" s="28">
        <f t="shared" si="12"/>
        <v>13</v>
      </c>
      <c r="AB17" s="53">
        <v>520</v>
      </c>
      <c r="AC17" s="57">
        <v>572</v>
      </c>
      <c r="AD17" s="177">
        <v>325</v>
      </c>
      <c r="AE17" s="188">
        <v>357.5</v>
      </c>
      <c r="AF17" s="177">
        <v>650</v>
      </c>
      <c r="AG17" s="67">
        <v>715</v>
      </c>
      <c r="AH17" s="11">
        <v>737</v>
      </c>
      <c r="AI17" s="72">
        <f t="shared" si="3"/>
        <v>357.5</v>
      </c>
      <c r="AJ17" s="139">
        <f t="shared" si="22"/>
        <v>-0.5</v>
      </c>
      <c r="AK17" s="94">
        <f t="shared" si="23"/>
        <v>-0.5149253731343284</v>
      </c>
      <c r="AM17" s="28">
        <f t="shared" si="13"/>
        <v>13</v>
      </c>
      <c r="AN17" s="53">
        <v>910</v>
      </c>
      <c r="AO17" s="57">
        <v>1001</v>
      </c>
      <c r="AP17" s="177">
        <v>364</v>
      </c>
      <c r="AQ17" s="188">
        <v>400.4</v>
      </c>
      <c r="AR17" s="177">
        <v>715</v>
      </c>
      <c r="AS17" s="67">
        <v>786.5</v>
      </c>
      <c r="AT17" s="11">
        <v>881.25</v>
      </c>
      <c r="AU17" s="72">
        <f t="shared" si="4"/>
        <v>600.6</v>
      </c>
      <c r="AV17" s="50">
        <f t="shared" si="5"/>
        <v>1.5000000000000002</v>
      </c>
      <c r="AW17" s="139">
        <f t="shared" si="14"/>
        <v>-0.49090909090909091</v>
      </c>
      <c r="AX17" s="94">
        <f t="shared" si="24"/>
        <v>-0.54564539007092205</v>
      </c>
      <c r="AZ17" s="28">
        <f t="shared" si="15"/>
        <v>13</v>
      </c>
      <c r="BA17" s="53">
        <v>910</v>
      </c>
      <c r="BB17" s="57">
        <v>1001</v>
      </c>
      <c r="BC17" s="177">
        <v>390</v>
      </c>
      <c r="BD17" s="188">
        <v>429</v>
      </c>
      <c r="BE17" s="177">
        <v>650</v>
      </c>
      <c r="BF17" s="67">
        <v>715</v>
      </c>
      <c r="BG17" s="11">
        <v>933.25</v>
      </c>
      <c r="BH17" s="72">
        <f t="shared" si="6"/>
        <v>572</v>
      </c>
      <c r="BI17" s="50">
        <f t="shared" si="7"/>
        <v>1.3333333333333333</v>
      </c>
      <c r="BJ17" s="50">
        <f t="shared" si="25"/>
        <v>-0.54031609965175464</v>
      </c>
      <c r="BK17" s="135">
        <f t="shared" si="16"/>
        <v>-0.4</v>
      </c>
      <c r="BM17" s="28">
        <f t="shared" si="17"/>
        <v>13</v>
      </c>
      <c r="BN17" s="53">
        <v>910</v>
      </c>
      <c r="BO17" s="57">
        <v>1001</v>
      </c>
      <c r="BP17" s="177">
        <v>585</v>
      </c>
      <c r="BQ17" s="188">
        <v>643.5</v>
      </c>
      <c r="BR17" s="177">
        <v>780</v>
      </c>
      <c r="BS17" s="67">
        <v>858</v>
      </c>
      <c r="BT17" s="67">
        <v>1128.25</v>
      </c>
      <c r="BU17" s="72">
        <f t="shared" si="8"/>
        <v>357.5</v>
      </c>
      <c r="BV17" s="50">
        <f t="shared" si="9"/>
        <v>0.55555555555555558</v>
      </c>
      <c r="BW17" s="135">
        <f t="shared" si="27"/>
        <v>-0.25</v>
      </c>
    </row>
    <row r="18" spans="1:75" x14ac:dyDescent="0.3">
      <c r="A18" s="48">
        <v>14</v>
      </c>
      <c r="B18" s="16">
        <f t="shared" si="10"/>
        <v>14</v>
      </c>
      <c r="C18" s="69">
        <v>210</v>
      </c>
      <c r="D18" s="70">
        <v>231</v>
      </c>
      <c r="E18" s="65">
        <v>252</v>
      </c>
      <c r="F18" s="66">
        <v>277.2</v>
      </c>
      <c r="G18" s="177">
        <v>210</v>
      </c>
      <c r="H18" s="71">
        <v>231</v>
      </c>
      <c r="I18" s="72">
        <v>723.5</v>
      </c>
      <c r="J18" s="72">
        <f t="shared" si="0"/>
        <v>46.199999999999989</v>
      </c>
      <c r="K18" s="50">
        <f t="shared" si="1"/>
        <v>0.19999999999999996</v>
      </c>
      <c r="L18" s="100">
        <f t="shared" si="18"/>
        <v>-1.6100288600288601</v>
      </c>
      <c r="M18" s="134">
        <f t="shared" si="19"/>
        <v>0.16666666666666663</v>
      </c>
      <c r="O18" s="28">
        <f t="shared" si="11"/>
        <v>14</v>
      </c>
      <c r="P18" s="53">
        <v>490</v>
      </c>
      <c r="Q18" s="57">
        <v>539</v>
      </c>
      <c r="R18" s="177">
        <v>280</v>
      </c>
      <c r="S18" s="188">
        <v>308</v>
      </c>
      <c r="T18" s="177">
        <v>350</v>
      </c>
      <c r="U18" s="67">
        <v>385</v>
      </c>
      <c r="V18" s="11">
        <v>793.5</v>
      </c>
      <c r="W18" s="72">
        <f t="shared" si="2"/>
        <v>231</v>
      </c>
      <c r="X18" s="135">
        <f t="shared" si="20"/>
        <v>-0.25</v>
      </c>
      <c r="Y18" s="94">
        <f t="shared" si="21"/>
        <v>-1.5762987012987013</v>
      </c>
      <c r="AA18" s="28">
        <f t="shared" si="12"/>
        <v>14</v>
      </c>
      <c r="AB18" s="53">
        <v>560</v>
      </c>
      <c r="AC18" s="57">
        <v>616</v>
      </c>
      <c r="AD18" s="177">
        <v>350</v>
      </c>
      <c r="AE18" s="188">
        <v>385</v>
      </c>
      <c r="AF18" s="177">
        <v>700</v>
      </c>
      <c r="AG18" s="67">
        <v>770</v>
      </c>
      <c r="AH18" s="11">
        <v>793.5</v>
      </c>
      <c r="AI18" s="72">
        <f t="shared" si="3"/>
        <v>385</v>
      </c>
      <c r="AJ18" s="139">
        <f t="shared" si="22"/>
        <v>-0.5</v>
      </c>
      <c r="AK18" s="94">
        <f t="shared" si="23"/>
        <v>-0.51480781348456206</v>
      </c>
      <c r="AM18" s="28">
        <f t="shared" si="13"/>
        <v>14</v>
      </c>
      <c r="AN18" s="53">
        <v>980</v>
      </c>
      <c r="AO18" s="57">
        <v>1078</v>
      </c>
      <c r="AP18" s="177">
        <v>392</v>
      </c>
      <c r="AQ18" s="188">
        <v>431.2</v>
      </c>
      <c r="AR18" s="177">
        <v>770</v>
      </c>
      <c r="AS18" s="67">
        <v>847</v>
      </c>
      <c r="AT18" s="11">
        <v>948.75</v>
      </c>
      <c r="AU18" s="72">
        <f t="shared" si="4"/>
        <v>646.79999999999995</v>
      </c>
      <c r="AV18" s="50">
        <f t="shared" si="5"/>
        <v>1.5</v>
      </c>
      <c r="AW18" s="139">
        <f t="shared" si="14"/>
        <v>-0.49090909090909091</v>
      </c>
      <c r="AX18" s="94">
        <f t="shared" si="24"/>
        <v>-0.54550724637681158</v>
      </c>
      <c r="AZ18" s="28">
        <f t="shared" si="15"/>
        <v>14</v>
      </c>
      <c r="BA18" s="53">
        <v>980</v>
      </c>
      <c r="BB18" s="57">
        <v>1078</v>
      </c>
      <c r="BC18" s="177">
        <v>420</v>
      </c>
      <c r="BD18" s="188">
        <v>462</v>
      </c>
      <c r="BE18" s="177">
        <v>700</v>
      </c>
      <c r="BF18" s="67">
        <v>770</v>
      </c>
      <c r="BG18" s="11">
        <v>1004.75</v>
      </c>
      <c r="BH18" s="72">
        <f t="shared" si="6"/>
        <v>616</v>
      </c>
      <c r="BI18" s="50">
        <f t="shared" si="7"/>
        <v>1.3333333333333333</v>
      </c>
      <c r="BJ18" s="50">
        <f t="shared" si="25"/>
        <v>-0.54018412540432947</v>
      </c>
      <c r="BK18" s="135">
        <f t="shared" si="16"/>
        <v>-0.4</v>
      </c>
      <c r="BM18" s="28">
        <f t="shared" si="17"/>
        <v>14</v>
      </c>
      <c r="BN18" s="53">
        <v>980</v>
      </c>
      <c r="BO18" s="57">
        <v>1078</v>
      </c>
      <c r="BP18" s="177">
        <v>630</v>
      </c>
      <c r="BQ18" s="188">
        <v>693</v>
      </c>
      <c r="BR18" s="177">
        <v>840</v>
      </c>
      <c r="BS18" s="67">
        <v>924</v>
      </c>
      <c r="BT18" s="67">
        <v>1214.75</v>
      </c>
      <c r="BU18" s="72">
        <f t="shared" si="8"/>
        <v>385</v>
      </c>
      <c r="BV18" s="50">
        <f t="shared" si="9"/>
        <v>0.55555555555555558</v>
      </c>
      <c r="BW18" s="135">
        <f t="shared" si="27"/>
        <v>-0.25</v>
      </c>
    </row>
    <row r="19" spans="1:75" x14ac:dyDescent="0.3">
      <c r="A19" s="48">
        <v>15</v>
      </c>
      <c r="B19" s="16">
        <f t="shared" si="10"/>
        <v>15</v>
      </c>
      <c r="C19" s="69">
        <v>225</v>
      </c>
      <c r="D19" s="70">
        <v>247.5</v>
      </c>
      <c r="E19" s="65">
        <v>270</v>
      </c>
      <c r="F19" s="66">
        <v>297</v>
      </c>
      <c r="G19" s="177">
        <v>225</v>
      </c>
      <c r="H19" s="71">
        <v>247.5</v>
      </c>
      <c r="I19" s="72">
        <v>775</v>
      </c>
      <c r="J19" s="72">
        <f t="shared" si="0"/>
        <v>49.5</v>
      </c>
      <c r="K19" s="50">
        <f t="shared" si="1"/>
        <v>0.2</v>
      </c>
      <c r="L19" s="100">
        <f t="shared" si="18"/>
        <v>-1.6094276094276094</v>
      </c>
      <c r="M19" s="134">
        <f t="shared" si="19"/>
        <v>0.16666666666666666</v>
      </c>
      <c r="O19" s="28">
        <f t="shared" si="11"/>
        <v>15</v>
      </c>
      <c r="P19" s="53">
        <v>525</v>
      </c>
      <c r="Q19" s="57">
        <v>577.5</v>
      </c>
      <c r="R19" s="177">
        <v>300</v>
      </c>
      <c r="S19" s="188">
        <v>330</v>
      </c>
      <c r="T19" s="177">
        <v>375</v>
      </c>
      <c r="U19" s="67">
        <v>412.5</v>
      </c>
      <c r="V19" s="11">
        <v>850</v>
      </c>
      <c r="W19" s="72">
        <f t="shared" si="2"/>
        <v>247.5</v>
      </c>
      <c r="X19" s="135">
        <f t="shared" si="20"/>
        <v>-0.25</v>
      </c>
      <c r="Y19" s="94">
        <f t="shared" si="21"/>
        <v>-1.5757575757575757</v>
      </c>
      <c r="AA19" s="28">
        <f t="shared" si="12"/>
        <v>15</v>
      </c>
      <c r="AB19" s="53">
        <v>600</v>
      </c>
      <c r="AC19" s="57">
        <v>660</v>
      </c>
      <c r="AD19" s="177">
        <v>375</v>
      </c>
      <c r="AE19" s="188">
        <v>412.5</v>
      </c>
      <c r="AF19" s="177">
        <v>750</v>
      </c>
      <c r="AG19" s="67">
        <v>825</v>
      </c>
      <c r="AH19" s="11">
        <v>850</v>
      </c>
      <c r="AI19" s="72">
        <f t="shared" si="3"/>
        <v>412.5</v>
      </c>
      <c r="AJ19" s="139">
        <f t="shared" si="22"/>
        <v>-0.5</v>
      </c>
      <c r="AK19" s="94">
        <f t="shared" si="23"/>
        <v>-0.51470588235294112</v>
      </c>
      <c r="AM19" s="28">
        <f t="shared" si="13"/>
        <v>15</v>
      </c>
      <c r="AN19" s="53">
        <v>1050</v>
      </c>
      <c r="AO19" s="57">
        <v>1155</v>
      </c>
      <c r="AP19" s="177">
        <v>420</v>
      </c>
      <c r="AQ19" s="188">
        <v>462</v>
      </c>
      <c r="AR19" s="177">
        <v>825</v>
      </c>
      <c r="AS19" s="67">
        <v>907.5</v>
      </c>
      <c r="AT19" s="11">
        <v>1016.25</v>
      </c>
      <c r="AU19" s="72">
        <f t="shared" si="4"/>
        <v>693</v>
      </c>
      <c r="AV19" s="50">
        <f t="shared" si="5"/>
        <v>1.5</v>
      </c>
      <c r="AW19" s="139">
        <f t="shared" si="14"/>
        <v>-0.49090909090909091</v>
      </c>
      <c r="AX19" s="94">
        <f t="shared" si="24"/>
        <v>-0.5453874538745388</v>
      </c>
      <c r="AZ19" s="28">
        <f t="shared" si="15"/>
        <v>15</v>
      </c>
      <c r="BA19" s="53">
        <v>1050</v>
      </c>
      <c r="BB19" s="57">
        <v>1155</v>
      </c>
      <c r="BC19" s="177">
        <v>450</v>
      </c>
      <c r="BD19" s="188">
        <v>495</v>
      </c>
      <c r="BE19" s="177">
        <v>750</v>
      </c>
      <c r="BF19" s="67">
        <v>825</v>
      </c>
      <c r="BG19" s="11">
        <v>1076.25</v>
      </c>
      <c r="BH19" s="72">
        <f t="shared" si="6"/>
        <v>660</v>
      </c>
      <c r="BI19" s="50">
        <f t="shared" si="7"/>
        <v>1.3333333333333333</v>
      </c>
      <c r="BJ19" s="50">
        <f t="shared" si="25"/>
        <v>-0.54006968641114983</v>
      </c>
      <c r="BK19" s="135">
        <f t="shared" si="16"/>
        <v>-0.4</v>
      </c>
      <c r="BM19" s="28">
        <f t="shared" si="17"/>
        <v>15</v>
      </c>
      <c r="BN19" s="53">
        <v>1050</v>
      </c>
      <c r="BO19" s="57">
        <v>1155</v>
      </c>
      <c r="BP19" s="177">
        <v>675</v>
      </c>
      <c r="BQ19" s="188">
        <v>742.5</v>
      </c>
      <c r="BR19" s="177">
        <v>900</v>
      </c>
      <c r="BS19" s="67">
        <v>990</v>
      </c>
      <c r="BT19" s="67">
        <v>1301.25</v>
      </c>
      <c r="BU19" s="72">
        <f t="shared" si="8"/>
        <v>412.5</v>
      </c>
      <c r="BV19" s="50">
        <f t="shared" si="9"/>
        <v>0.55555555555555558</v>
      </c>
      <c r="BW19" s="135">
        <f t="shared" si="27"/>
        <v>-0.25</v>
      </c>
    </row>
    <row r="20" spans="1:75" x14ac:dyDescent="0.3">
      <c r="A20" s="48">
        <v>16</v>
      </c>
      <c r="B20" s="16">
        <f t="shared" si="10"/>
        <v>16</v>
      </c>
      <c r="C20" s="69">
        <v>240</v>
      </c>
      <c r="D20" s="70">
        <v>264</v>
      </c>
      <c r="E20" s="65">
        <v>288</v>
      </c>
      <c r="F20" s="66">
        <v>316.8</v>
      </c>
      <c r="G20" s="177">
        <v>240</v>
      </c>
      <c r="H20" s="71">
        <v>264</v>
      </c>
      <c r="I20" s="72">
        <v>826.5</v>
      </c>
      <c r="J20" s="72">
        <f t="shared" si="0"/>
        <v>52.800000000000011</v>
      </c>
      <c r="K20" s="50">
        <f t="shared" si="1"/>
        <v>0.20000000000000004</v>
      </c>
      <c r="L20" s="100">
        <f t="shared" si="18"/>
        <v>-1.6089015151515151</v>
      </c>
      <c r="M20" s="134">
        <f t="shared" si="19"/>
        <v>0.16666666666666669</v>
      </c>
      <c r="O20" s="28">
        <f t="shared" si="11"/>
        <v>16</v>
      </c>
      <c r="P20" s="53">
        <v>560</v>
      </c>
      <c r="Q20" s="57">
        <v>616</v>
      </c>
      <c r="R20" s="177">
        <v>320</v>
      </c>
      <c r="S20" s="188">
        <v>352</v>
      </c>
      <c r="T20" s="177">
        <v>400</v>
      </c>
      <c r="U20" s="67">
        <v>440</v>
      </c>
      <c r="V20" s="11">
        <v>906.5</v>
      </c>
      <c r="W20" s="72">
        <f t="shared" si="2"/>
        <v>264</v>
      </c>
      <c r="X20" s="135">
        <f t="shared" si="20"/>
        <v>-0.25</v>
      </c>
      <c r="Y20" s="94">
        <f t="shared" si="21"/>
        <v>-1.5752840909090908</v>
      </c>
      <c r="AA20" s="28">
        <f t="shared" si="12"/>
        <v>16</v>
      </c>
      <c r="AB20" s="53">
        <v>640</v>
      </c>
      <c r="AC20" s="57">
        <v>704</v>
      </c>
      <c r="AD20" s="177">
        <v>400</v>
      </c>
      <c r="AE20" s="188">
        <v>440</v>
      </c>
      <c r="AF20" s="177">
        <v>800</v>
      </c>
      <c r="AG20" s="67">
        <v>880</v>
      </c>
      <c r="AH20" s="11">
        <v>906.5</v>
      </c>
      <c r="AI20" s="72">
        <f t="shared" si="3"/>
        <v>440</v>
      </c>
      <c r="AJ20" s="139">
        <f t="shared" si="22"/>
        <v>-0.5</v>
      </c>
      <c r="AK20" s="94">
        <f t="shared" si="23"/>
        <v>-0.51461665747380037</v>
      </c>
      <c r="AM20" s="28">
        <f t="shared" si="13"/>
        <v>16</v>
      </c>
      <c r="AN20" s="53">
        <v>1120</v>
      </c>
      <c r="AO20" s="57">
        <v>1232</v>
      </c>
      <c r="AP20" s="177">
        <v>448</v>
      </c>
      <c r="AQ20" s="188">
        <v>492.8</v>
      </c>
      <c r="AR20" s="177">
        <v>880</v>
      </c>
      <c r="AS20" s="67">
        <v>968</v>
      </c>
      <c r="AT20" s="11">
        <v>1083.75</v>
      </c>
      <c r="AU20" s="72">
        <f t="shared" si="4"/>
        <v>739.2</v>
      </c>
      <c r="AV20" s="50">
        <f t="shared" si="5"/>
        <v>1.5</v>
      </c>
      <c r="AW20" s="139">
        <f t="shared" si="14"/>
        <v>-0.49090909090909091</v>
      </c>
      <c r="AX20" s="94">
        <f t="shared" si="24"/>
        <v>-0.54528258362168402</v>
      </c>
      <c r="AZ20" s="28">
        <f t="shared" si="15"/>
        <v>16</v>
      </c>
      <c r="BA20" s="53">
        <v>1120</v>
      </c>
      <c r="BB20" s="57">
        <v>1232</v>
      </c>
      <c r="BC20" s="177">
        <v>480</v>
      </c>
      <c r="BD20" s="188">
        <v>528</v>
      </c>
      <c r="BE20" s="177">
        <v>800</v>
      </c>
      <c r="BF20" s="67">
        <v>880</v>
      </c>
      <c r="BG20" s="11">
        <v>1147.75</v>
      </c>
      <c r="BH20" s="72">
        <f t="shared" si="6"/>
        <v>704</v>
      </c>
      <c r="BI20" s="50">
        <f t="shared" si="7"/>
        <v>1.3333333333333333</v>
      </c>
      <c r="BJ20" s="50">
        <f t="shared" si="25"/>
        <v>-0.53996950555434542</v>
      </c>
      <c r="BK20" s="135">
        <f t="shared" si="16"/>
        <v>-0.4</v>
      </c>
      <c r="BM20" s="28">
        <f t="shared" si="17"/>
        <v>16</v>
      </c>
      <c r="BN20" s="53">
        <v>1120</v>
      </c>
      <c r="BO20" s="57">
        <v>1232</v>
      </c>
      <c r="BP20" s="177">
        <v>720</v>
      </c>
      <c r="BQ20" s="188">
        <v>792</v>
      </c>
      <c r="BR20" s="177">
        <v>960</v>
      </c>
      <c r="BS20" s="67">
        <v>1056</v>
      </c>
      <c r="BT20" s="67">
        <v>1387.75</v>
      </c>
      <c r="BU20" s="72">
        <f t="shared" si="8"/>
        <v>440</v>
      </c>
      <c r="BV20" s="50">
        <f t="shared" si="9"/>
        <v>0.55555555555555558</v>
      </c>
      <c r="BW20" s="135">
        <f t="shared" si="27"/>
        <v>-0.25</v>
      </c>
    </row>
    <row r="21" spans="1:75" x14ac:dyDescent="0.3">
      <c r="A21" s="48">
        <v>17</v>
      </c>
      <c r="B21" s="16">
        <f t="shared" si="10"/>
        <v>17</v>
      </c>
      <c r="C21" s="69">
        <v>255</v>
      </c>
      <c r="D21" s="70">
        <v>280.5</v>
      </c>
      <c r="E21" s="65">
        <v>306</v>
      </c>
      <c r="F21" s="66">
        <v>336.6</v>
      </c>
      <c r="G21" s="177">
        <v>255</v>
      </c>
      <c r="H21" s="71">
        <v>280.5</v>
      </c>
      <c r="I21" s="72">
        <v>878</v>
      </c>
      <c r="J21" s="72">
        <f t="shared" si="0"/>
        <v>56.100000000000023</v>
      </c>
      <c r="K21" s="50">
        <f t="shared" si="1"/>
        <v>0.20000000000000009</v>
      </c>
      <c r="L21" s="100">
        <f t="shared" si="18"/>
        <v>-1.6084373143196671</v>
      </c>
      <c r="M21" s="134">
        <f t="shared" si="19"/>
        <v>0.16666666666666671</v>
      </c>
      <c r="O21" s="28">
        <f t="shared" si="11"/>
        <v>17</v>
      </c>
      <c r="P21" s="53">
        <v>595</v>
      </c>
      <c r="Q21" s="57">
        <v>654.5</v>
      </c>
      <c r="R21" s="177">
        <v>340</v>
      </c>
      <c r="S21" s="188">
        <v>374</v>
      </c>
      <c r="T21" s="177">
        <v>425</v>
      </c>
      <c r="U21" s="67">
        <v>467.5</v>
      </c>
      <c r="V21" s="11">
        <v>963</v>
      </c>
      <c r="W21" s="72">
        <f t="shared" si="2"/>
        <v>280.5</v>
      </c>
      <c r="X21" s="135">
        <f t="shared" si="20"/>
        <v>-0.25</v>
      </c>
      <c r="Y21" s="94">
        <f t="shared" si="21"/>
        <v>-1.5748663101604279</v>
      </c>
      <c r="AA21" s="28">
        <f t="shared" si="12"/>
        <v>17</v>
      </c>
      <c r="AB21" s="53">
        <v>680</v>
      </c>
      <c r="AC21" s="57">
        <v>748</v>
      </c>
      <c r="AD21" s="177">
        <v>425</v>
      </c>
      <c r="AE21" s="188">
        <v>467.5</v>
      </c>
      <c r="AF21" s="177">
        <v>850</v>
      </c>
      <c r="AG21" s="67">
        <v>935</v>
      </c>
      <c r="AH21" s="11">
        <v>963</v>
      </c>
      <c r="AI21" s="72">
        <f t="shared" si="3"/>
        <v>467.5</v>
      </c>
      <c r="AJ21" s="139">
        <f t="shared" si="22"/>
        <v>-0.5</v>
      </c>
      <c r="AK21" s="94">
        <f t="shared" si="23"/>
        <v>-0.51453790238836972</v>
      </c>
      <c r="AM21" s="28">
        <f t="shared" si="13"/>
        <v>17</v>
      </c>
      <c r="AN21" s="53">
        <v>1190</v>
      </c>
      <c r="AO21" s="57">
        <v>1309</v>
      </c>
      <c r="AP21" s="177">
        <v>476</v>
      </c>
      <c r="AQ21" s="188">
        <v>523.6</v>
      </c>
      <c r="AR21" s="177">
        <v>935</v>
      </c>
      <c r="AS21" s="67">
        <v>1028.5</v>
      </c>
      <c r="AT21" s="11">
        <v>1151.25</v>
      </c>
      <c r="AU21" s="72">
        <f t="shared" si="4"/>
        <v>785.4</v>
      </c>
      <c r="AV21" s="50">
        <f t="shared" si="5"/>
        <v>1.5</v>
      </c>
      <c r="AW21" s="139">
        <f t="shared" si="14"/>
        <v>-0.49090909090909091</v>
      </c>
      <c r="AX21" s="94">
        <f t="shared" si="24"/>
        <v>-0.54519001085776331</v>
      </c>
      <c r="AZ21" s="28">
        <f t="shared" si="15"/>
        <v>17</v>
      </c>
      <c r="BA21" s="53">
        <v>1190</v>
      </c>
      <c r="BB21" s="57">
        <v>1309</v>
      </c>
      <c r="BC21" s="177">
        <v>510</v>
      </c>
      <c r="BD21" s="188">
        <v>561</v>
      </c>
      <c r="BE21" s="177">
        <v>850</v>
      </c>
      <c r="BF21" s="67">
        <v>935</v>
      </c>
      <c r="BG21" s="11">
        <v>1219.25</v>
      </c>
      <c r="BH21" s="72">
        <f t="shared" si="6"/>
        <v>748</v>
      </c>
      <c r="BI21" s="50">
        <f t="shared" si="7"/>
        <v>1.3333333333333333</v>
      </c>
      <c r="BJ21" s="50">
        <f t="shared" si="25"/>
        <v>-0.53988107443100264</v>
      </c>
      <c r="BK21" s="135">
        <f t="shared" si="16"/>
        <v>-0.4</v>
      </c>
      <c r="BM21" s="28">
        <f t="shared" si="17"/>
        <v>17</v>
      </c>
      <c r="BN21" s="53">
        <v>1190</v>
      </c>
      <c r="BO21" s="57">
        <v>1309</v>
      </c>
      <c r="BP21" s="177">
        <v>765</v>
      </c>
      <c r="BQ21" s="188">
        <v>841.5</v>
      </c>
      <c r="BR21" s="177">
        <v>1020</v>
      </c>
      <c r="BS21" s="67">
        <v>1122</v>
      </c>
      <c r="BT21" s="67">
        <v>1474.25</v>
      </c>
      <c r="BU21" s="72">
        <f t="shared" si="8"/>
        <v>467.5</v>
      </c>
      <c r="BV21" s="50">
        <f t="shared" si="9"/>
        <v>0.55555555555555558</v>
      </c>
      <c r="BW21" s="135">
        <f t="shared" si="27"/>
        <v>-0.25</v>
      </c>
    </row>
    <row r="22" spans="1:75" x14ac:dyDescent="0.3">
      <c r="A22" s="48">
        <v>18</v>
      </c>
      <c r="B22" s="16">
        <f t="shared" si="10"/>
        <v>18</v>
      </c>
      <c r="C22" s="69">
        <v>270</v>
      </c>
      <c r="D22" s="70">
        <v>297</v>
      </c>
      <c r="E22" s="65">
        <v>324</v>
      </c>
      <c r="F22" s="66">
        <v>356.4</v>
      </c>
      <c r="G22" s="177">
        <v>270</v>
      </c>
      <c r="H22" s="71">
        <v>297</v>
      </c>
      <c r="I22" s="72">
        <v>929.5</v>
      </c>
      <c r="J22" s="72">
        <f t="shared" si="0"/>
        <v>59.399999999999977</v>
      </c>
      <c r="K22" s="50">
        <f t="shared" si="1"/>
        <v>0.19999999999999993</v>
      </c>
      <c r="L22" s="100">
        <f t="shared" si="18"/>
        <v>-1.6080246913580249</v>
      </c>
      <c r="M22" s="134">
        <f t="shared" si="19"/>
        <v>0.1666666666666666</v>
      </c>
      <c r="O22" s="28">
        <f t="shared" si="11"/>
        <v>18</v>
      </c>
      <c r="P22" s="53">
        <v>630</v>
      </c>
      <c r="Q22" s="57">
        <v>693</v>
      </c>
      <c r="R22" s="177">
        <v>360</v>
      </c>
      <c r="S22" s="188">
        <v>396</v>
      </c>
      <c r="T22" s="177">
        <v>450</v>
      </c>
      <c r="U22" s="67">
        <v>495</v>
      </c>
      <c r="V22" s="11">
        <v>1019.5</v>
      </c>
      <c r="W22" s="72">
        <f t="shared" si="2"/>
        <v>297</v>
      </c>
      <c r="X22" s="135">
        <f t="shared" si="20"/>
        <v>-0.25</v>
      </c>
      <c r="Y22" s="94">
        <f t="shared" si="21"/>
        <v>-1.5744949494949494</v>
      </c>
      <c r="AA22" s="28">
        <f t="shared" si="12"/>
        <v>18</v>
      </c>
      <c r="AB22" s="53">
        <v>720</v>
      </c>
      <c r="AC22" s="57">
        <v>792</v>
      </c>
      <c r="AD22" s="177">
        <v>450</v>
      </c>
      <c r="AE22" s="188">
        <v>495</v>
      </c>
      <c r="AF22" s="177">
        <v>900</v>
      </c>
      <c r="AG22" s="67">
        <v>990</v>
      </c>
      <c r="AH22" s="11">
        <v>1019.5</v>
      </c>
      <c r="AI22" s="72">
        <f t="shared" si="3"/>
        <v>495</v>
      </c>
      <c r="AJ22" s="139">
        <f t="shared" si="22"/>
        <v>-0.5</v>
      </c>
      <c r="AK22" s="94">
        <f t="shared" si="23"/>
        <v>-0.51446787641000491</v>
      </c>
      <c r="AM22" s="28">
        <f t="shared" si="13"/>
        <v>18</v>
      </c>
      <c r="AN22" s="53">
        <v>1260</v>
      </c>
      <c r="AO22" s="57">
        <v>1386</v>
      </c>
      <c r="AP22" s="177">
        <v>504</v>
      </c>
      <c r="AQ22" s="188">
        <v>554.4</v>
      </c>
      <c r="AR22" s="177">
        <v>990</v>
      </c>
      <c r="AS22" s="67">
        <v>1089</v>
      </c>
      <c r="AT22" s="11">
        <v>1218.75</v>
      </c>
      <c r="AU22" s="72">
        <f t="shared" si="4"/>
        <v>831.6</v>
      </c>
      <c r="AV22" s="50">
        <f t="shared" si="5"/>
        <v>1.5</v>
      </c>
      <c r="AW22" s="139">
        <f t="shared" si="14"/>
        <v>-0.49090909090909091</v>
      </c>
      <c r="AX22" s="94">
        <f t="shared" si="24"/>
        <v>-0.54510769230769229</v>
      </c>
      <c r="AZ22" s="28">
        <f t="shared" si="15"/>
        <v>18</v>
      </c>
      <c r="BA22" s="53">
        <v>1260</v>
      </c>
      <c r="BB22" s="57">
        <v>1386</v>
      </c>
      <c r="BC22" s="177">
        <v>540</v>
      </c>
      <c r="BD22" s="188">
        <v>594</v>
      </c>
      <c r="BE22" s="177">
        <v>900</v>
      </c>
      <c r="BF22" s="67">
        <v>990</v>
      </c>
      <c r="BG22" s="11">
        <v>1290.75</v>
      </c>
      <c r="BH22" s="72">
        <f t="shared" si="6"/>
        <v>792</v>
      </c>
      <c r="BI22" s="50">
        <f t="shared" si="7"/>
        <v>1.3333333333333333</v>
      </c>
      <c r="BJ22" s="50">
        <f t="shared" si="25"/>
        <v>-0.53980244044160375</v>
      </c>
      <c r="BK22" s="135">
        <f t="shared" si="16"/>
        <v>-0.4</v>
      </c>
      <c r="BM22" s="28">
        <f t="shared" si="17"/>
        <v>18</v>
      </c>
      <c r="BN22" s="53">
        <v>1260</v>
      </c>
      <c r="BO22" s="57">
        <v>1386</v>
      </c>
      <c r="BP22" s="177">
        <v>810</v>
      </c>
      <c r="BQ22" s="188">
        <v>891</v>
      </c>
      <c r="BR22" s="177">
        <v>1080</v>
      </c>
      <c r="BS22" s="67">
        <v>1188</v>
      </c>
      <c r="BT22" s="67">
        <v>1560.75</v>
      </c>
      <c r="BU22" s="72">
        <f t="shared" si="8"/>
        <v>495</v>
      </c>
      <c r="BV22" s="50">
        <f t="shared" si="9"/>
        <v>0.55555555555555558</v>
      </c>
      <c r="BW22" s="135">
        <f t="shared" si="27"/>
        <v>-0.25</v>
      </c>
    </row>
    <row r="23" spans="1:75" x14ac:dyDescent="0.3">
      <c r="A23" s="48">
        <v>19</v>
      </c>
      <c r="B23" s="16">
        <f t="shared" si="10"/>
        <v>19</v>
      </c>
      <c r="C23" s="69">
        <v>285</v>
      </c>
      <c r="D23" s="70">
        <v>313.5</v>
      </c>
      <c r="E23" s="65">
        <v>342</v>
      </c>
      <c r="F23" s="66">
        <v>376.2</v>
      </c>
      <c r="G23" s="177">
        <v>285</v>
      </c>
      <c r="H23" s="71">
        <v>313.5</v>
      </c>
      <c r="I23" s="72">
        <v>981</v>
      </c>
      <c r="J23" s="72">
        <f t="shared" si="0"/>
        <v>62.699999999999989</v>
      </c>
      <c r="K23" s="50">
        <f t="shared" si="1"/>
        <v>0.19999999999999996</v>
      </c>
      <c r="L23" s="100">
        <f t="shared" si="18"/>
        <v>-1.6076555023923444</v>
      </c>
      <c r="M23" s="134">
        <f t="shared" si="19"/>
        <v>0.16666666666666663</v>
      </c>
      <c r="O23" s="28">
        <f t="shared" si="11"/>
        <v>19</v>
      </c>
      <c r="P23" s="53">
        <v>665</v>
      </c>
      <c r="Q23" s="57">
        <v>731.5</v>
      </c>
      <c r="R23" s="177">
        <v>380</v>
      </c>
      <c r="S23" s="188">
        <v>418</v>
      </c>
      <c r="T23" s="177">
        <v>475</v>
      </c>
      <c r="U23" s="67">
        <v>522.5</v>
      </c>
      <c r="V23" s="11">
        <v>1076</v>
      </c>
      <c r="W23" s="72">
        <f t="shared" si="2"/>
        <v>313.5</v>
      </c>
      <c r="X23" s="135">
        <f t="shared" si="20"/>
        <v>-0.25</v>
      </c>
      <c r="Y23" s="94">
        <f t="shared" si="21"/>
        <v>-1.5741626794258374</v>
      </c>
      <c r="AA23" s="28">
        <f t="shared" si="12"/>
        <v>19</v>
      </c>
      <c r="AB23" s="53">
        <v>760</v>
      </c>
      <c r="AC23" s="57">
        <v>836</v>
      </c>
      <c r="AD23" s="177">
        <v>475</v>
      </c>
      <c r="AE23" s="188">
        <v>522.5</v>
      </c>
      <c r="AF23" s="177">
        <v>950</v>
      </c>
      <c r="AG23" s="67">
        <v>1045</v>
      </c>
      <c r="AH23" s="11">
        <v>1076</v>
      </c>
      <c r="AI23" s="72">
        <f t="shared" si="3"/>
        <v>522.5</v>
      </c>
      <c r="AJ23" s="139">
        <f t="shared" si="22"/>
        <v>-0.5</v>
      </c>
      <c r="AK23" s="94">
        <f t="shared" si="23"/>
        <v>-0.51440520446096649</v>
      </c>
      <c r="AM23" s="28">
        <f t="shared" si="13"/>
        <v>19</v>
      </c>
      <c r="AN23" s="53">
        <v>1330</v>
      </c>
      <c r="AO23" s="57">
        <v>1463</v>
      </c>
      <c r="AP23" s="177">
        <v>532</v>
      </c>
      <c r="AQ23" s="188">
        <v>585.20000000000005</v>
      </c>
      <c r="AR23" s="177">
        <v>1045</v>
      </c>
      <c r="AS23" s="67">
        <v>1149.5</v>
      </c>
      <c r="AT23" s="11">
        <v>1286.25</v>
      </c>
      <c r="AU23" s="72">
        <f t="shared" si="4"/>
        <v>877.8</v>
      </c>
      <c r="AV23" s="50">
        <f t="shared" si="5"/>
        <v>1.4999999999999998</v>
      </c>
      <c r="AW23" s="139">
        <f t="shared" si="14"/>
        <v>-0.49090909090909091</v>
      </c>
      <c r="AX23" s="94">
        <f t="shared" si="24"/>
        <v>-0.54503401360544212</v>
      </c>
      <c r="AZ23" s="28">
        <f t="shared" si="15"/>
        <v>19</v>
      </c>
      <c r="BA23" s="53">
        <v>1330</v>
      </c>
      <c r="BB23" s="57">
        <v>1463</v>
      </c>
      <c r="BC23" s="177">
        <v>570</v>
      </c>
      <c r="BD23" s="188">
        <v>627</v>
      </c>
      <c r="BE23" s="177">
        <v>950</v>
      </c>
      <c r="BF23" s="67">
        <v>1045</v>
      </c>
      <c r="BG23" s="11">
        <v>1362.25</v>
      </c>
      <c r="BH23" s="72">
        <f t="shared" si="6"/>
        <v>836</v>
      </c>
      <c r="BI23" s="50">
        <f t="shared" si="7"/>
        <v>1.3333333333333333</v>
      </c>
      <c r="BJ23" s="50">
        <f t="shared" si="25"/>
        <v>-0.5397320609286107</v>
      </c>
      <c r="BK23" s="135">
        <f t="shared" si="16"/>
        <v>-0.4</v>
      </c>
      <c r="BM23" s="28">
        <f t="shared" si="17"/>
        <v>19</v>
      </c>
      <c r="BN23" s="53">
        <v>1330</v>
      </c>
      <c r="BO23" s="57">
        <v>1463</v>
      </c>
      <c r="BP23" s="177">
        <v>855</v>
      </c>
      <c r="BQ23" s="188">
        <v>940.5</v>
      </c>
      <c r="BR23" s="177">
        <v>1140</v>
      </c>
      <c r="BS23" s="67">
        <v>1254</v>
      </c>
      <c r="BT23" s="67">
        <v>1647.25</v>
      </c>
      <c r="BU23" s="72">
        <f t="shared" si="8"/>
        <v>522.5</v>
      </c>
      <c r="BV23" s="50">
        <f t="shared" si="9"/>
        <v>0.55555555555555558</v>
      </c>
      <c r="BW23" s="135">
        <f t="shared" si="27"/>
        <v>-0.25</v>
      </c>
    </row>
    <row r="24" spans="1:75" x14ac:dyDescent="0.3">
      <c r="A24" s="48">
        <v>20</v>
      </c>
      <c r="B24" s="16">
        <f t="shared" si="10"/>
        <v>20</v>
      </c>
      <c r="C24" s="69">
        <v>300</v>
      </c>
      <c r="D24" s="70">
        <v>330</v>
      </c>
      <c r="E24" s="65">
        <v>360</v>
      </c>
      <c r="F24" s="66">
        <v>396</v>
      </c>
      <c r="G24" s="177">
        <v>300</v>
      </c>
      <c r="H24" s="71">
        <v>330</v>
      </c>
      <c r="I24" s="72">
        <v>1032.5</v>
      </c>
      <c r="J24" s="72">
        <f t="shared" si="0"/>
        <v>66</v>
      </c>
      <c r="K24" s="50">
        <f t="shared" si="1"/>
        <v>0.2</v>
      </c>
      <c r="L24" s="100">
        <f t="shared" si="18"/>
        <v>-1.6073232323232323</v>
      </c>
      <c r="M24" s="134">
        <f t="shared" si="19"/>
        <v>0.16666666666666666</v>
      </c>
      <c r="O24" s="28">
        <f t="shared" si="11"/>
        <v>20</v>
      </c>
      <c r="P24" s="53">
        <v>700</v>
      </c>
      <c r="Q24" s="57">
        <v>770</v>
      </c>
      <c r="R24" s="177">
        <v>400</v>
      </c>
      <c r="S24" s="188">
        <v>440</v>
      </c>
      <c r="T24" s="177">
        <v>500</v>
      </c>
      <c r="U24" s="67">
        <v>550</v>
      </c>
      <c r="V24" s="11">
        <v>1132.5</v>
      </c>
      <c r="W24" s="72">
        <f t="shared" si="2"/>
        <v>330</v>
      </c>
      <c r="X24" s="135">
        <f t="shared" si="20"/>
        <v>-0.25</v>
      </c>
      <c r="Y24" s="94">
        <f t="shared" si="21"/>
        <v>-1.5738636363636365</v>
      </c>
      <c r="AA24" s="28">
        <f t="shared" si="12"/>
        <v>20</v>
      </c>
      <c r="AB24" s="53">
        <v>800</v>
      </c>
      <c r="AC24" s="57">
        <v>880</v>
      </c>
      <c r="AD24" s="177">
        <v>500</v>
      </c>
      <c r="AE24" s="188">
        <v>550</v>
      </c>
      <c r="AF24" s="177">
        <v>1000</v>
      </c>
      <c r="AG24" s="67">
        <v>1100</v>
      </c>
      <c r="AH24" s="11">
        <v>1132.5</v>
      </c>
      <c r="AI24" s="72">
        <f t="shared" si="3"/>
        <v>550</v>
      </c>
      <c r="AJ24" s="139">
        <f t="shared" si="22"/>
        <v>-0.5</v>
      </c>
      <c r="AK24" s="94">
        <f t="shared" si="23"/>
        <v>-0.51434878587196464</v>
      </c>
      <c r="AM24" s="28">
        <f t="shared" si="13"/>
        <v>20</v>
      </c>
      <c r="AN24" s="53">
        <v>1400</v>
      </c>
      <c r="AO24" s="57">
        <v>1540</v>
      </c>
      <c r="AP24" s="177">
        <v>560</v>
      </c>
      <c r="AQ24" s="188">
        <v>616</v>
      </c>
      <c r="AR24" s="177">
        <v>1100</v>
      </c>
      <c r="AS24" s="67">
        <v>1210</v>
      </c>
      <c r="AT24" s="11">
        <v>1353.75</v>
      </c>
      <c r="AU24" s="72">
        <f t="shared" si="4"/>
        <v>924</v>
      </c>
      <c r="AV24" s="50">
        <f t="shared" si="5"/>
        <v>1.5</v>
      </c>
      <c r="AW24" s="139">
        <f t="shared" si="14"/>
        <v>-0.49090909090909091</v>
      </c>
      <c r="AX24" s="94">
        <f t="shared" si="24"/>
        <v>-0.54496768236380422</v>
      </c>
      <c r="AZ24" s="28">
        <f t="shared" si="15"/>
        <v>20</v>
      </c>
      <c r="BA24" s="53">
        <v>1400</v>
      </c>
      <c r="BB24" s="57">
        <v>1540</v>
      </c>
      <c r="BC24" s="177">
        <v>600</v>
      </c>
      <c r="BD24" s="188">
        <v>660</v>
      </c>
      <c r="BE24" s="177">
        <v>1000</v>
      </c>
      <c r="BF24" s="67">
        <v>1100</v>
      </c>
      <c r="BG24" s="11">
        <v>1433.75</v>
      </c>
      <c r="BH24" s="72">
        <f t="shared" si="6"/>
        <v>880</v>
      </c>
      <c r="BI24" s="50">
        <f t="shared" si="7"/>
        <v>1.3333333333333333</v>
      </c>
      <c r="BJ24" s="50">
        <f t="shared" si="25"/>
        <v>-0.53966870095902353</v>
      </c>
      <c r="BK24" s="135">
        <f t="shared" si="16"/>
        <v>-0.4</v>
      </c>
      <c r="BM24" s="28">
        <f t="shared" si="17"/>
        <v>20</v>
      </c>
      <c r="BN24" s="53">
        <v>1400</v>
      </c>
      <c r="BO24" s="57">
        <v>1540</v>
      </c>
      <c r="BP24" s="177">
        <v>900</v>
      </c>
      <c r="BQ24" s="188">
        <v>990</v>
      </c>
      <c r="BR24" s="177">
        <v>1200</v>
      </c>
      <c r="BS24" s="67">
        <v>1320</v>
      </c>
      <c r="BT24" s="67">
        <v>1733.75</v>
      </c>
      <c r="BU24" s="72">
        <f t="shared" si="8"/>
        <v>550</v>
      </c>
      <c r="BV24" s="50">
        <f t="shared" si="9"/>
        <v>0.55555555555555558</v>
      </c>
      <c r="BW24" s="135">
        <f t="shared" si="27"/>
        <v>-0.25</v>
      </c>
    </row>
    <row r="25" spans="1:75" x14ac:dyDescent="0.3">
      <c r="A25" s="48">
        <v>21</v>
      </c>
      <c r="B25" s="16">
        <f t="shared" si="10"/>
        <v>21</v>
      </c>
      <c r="C25" s="69">
        <v>315</v>
      </c>
      <c r="D25" s="70">
        <v>346.5</v>
      </c>
      <c r="E25" s="65">
        <v>378</v>
      </c>
      <c r="F25" s="66">
        <v>415.8</v>
      </c>
      <c r="G25" s="177">
        <v>315</v>
      </c>
      <c r="H25" s="71">
        <v>346.5</v>
      </c>
      <c r="I25" s="72">
        <v>1084</v>
      </c>
      <c r="J25" s="72">
        <f t="shared" si="0"/>
        <v>69.300000000000011</v>
      </c>
      <c r="K25" s="50">
        <f t="shared" si="1"/>
        <v>0.20000000000000004</v>
      </c>
      <c r="L25" s="100">
        <f t="shared" si="18"/>
        <v>-1.607022607022607</v>
      </c>
      <c r="M25" s="134">
        <f t="shared" si="19"/>
        <v>0.16666666666666669</v>
      </c>
      <c r="O25" s="28">
        <f t="shared" si="11"/>
        <v>21</v>
      </c>
      <c r="P25" s="53">
        <v>735</v>
      </c>
      <c r="Q25" s="57">
        <v>808.5</v>
      </c>
      <c r="R25" s="177">
        <v>420</v>
      </c>
      <c r="S25" s="188">
        <v>462</v>
      </c>
      <c r="T25" s="177">
        <v>525</v>
      </c>
      <c r="U25" s="67">
        <v>577.5</v>
      </c>
      <c r="V25" s="11">
        <v>1189</v>
      </c>
      <c r="W25" s="72">
        <f t="shared" si="2"/>
        <v>346.5</v>
      </c>
      <c r="X25" s="135">
        <f t="shared" si="20"/>
        <v>-0.25</v>
      </c>
      <c r="Y25" s="94">
        <f t="shared" si="21"/>
        <v>-1.5735930735930737</v>
      </c>
      <c r="AA25" s="28">
        <f t="shared" si="12"/>
        <v>21</v>
      </c>
      <c r="AB25" s="53">
        <v>840</v>
      </c>
      <c r="AC25" s="57">
        <v>924</v>
      </c>
      <c r="AD25" s="177">
        <v>525</v>
      </c>
      <c r="AE25" s="188">
        <v>577.5</v>
      </c>
      <c r="AF25" s="177">
        <v>1050</v>
      </c>
      <c r="AG25" s="67">
        <v>1155</v>
      </c>
      <c r="AH25" s="11">
        <v>1189</v>
      </c>
      <c r="AI25" s="72">
        <f t="shared" si="3"/>
        <v>577.5</v>
      </c>
      <c r="AJ25" s="139">
        <f t="shared" si="22"/>
        <v>-0.5</v>
      </c>
      <c r="AK25" s="94">
        <f t="shared" si="23"/>
        <v>-0.51429772918418837</v>
      </c>
      <c r="AM25" s="28">
        <f t="shared" si="13"/>
        <v>21</v>
      </c>
      <c r="AN25" s="53">
        <v>1470</v>
      </c>
      <c r="AO25" s="57">
        <v>1617</v>
      </c>
      <c r="AP25" s="177">
        <v>588</v>
      </c>
      <c r="AQ25" s="188">
        <v>646.79999999999995</v>
      </c>
      <c r="AR25" s="177">
        <v>1155</v>
      </c>
      <c r="AS25" s="67">
        <v>1270.5</v>
      </c>
      <c r="AT25" s="11">
        <v>1421.25</v>
      </c>
      <c r="AU25" s="72">
        <f t="shared" si="4"/>
        <v>970.2</v>
      </c>
      <c r="AV25" s="50">
        <f t="shared" si="5"/>
        <v>1.5000000000000002</v>
      </c>
      <c r="AW25" s="139">
        <f t="shared" si="14"/>
        <v>-0.49090909090909091</v>
      </c>
      <c r="AX25" s="94">
        <f t="shared" si="24"/>
        <v>-0.54490765171503963</v>
      </c>
      <c r="AZ25" s="28">
        <f t="shared" si="15"/>
        <v>21</v>
      </c>
      <c r="BA25" s="53">
        <v>1470</v>
      </c>
      <c r="BB25" s="57">
        <v>1617</v>
      </c>
      <c r="BC25" s="177">
        <v>630</v>
      </c>
      <c r="BD25" s="188">
        <v>693</v>
      </c>
      <c r="BE25" s="177">
        <v>1050</v>
      </c>
      <c r="BF25" s="67">
        <v>1155</v>
      </c>
      <c r="BG25" s="11">
        <v>1505.25</v>
      </c>
      <c r="BH25" s="72">
        <f t="shared" si="6"/>
        <v>924</v>
      </c>
      <c r="BI25" s="50">
        <f t="shared" si="7"/>
        <v>1.3333333333333333</v>
      </c>
      <c r="BJ25" s="50">
        <f t="shared" si="25"/>
        <v>-0.5396113602391629</v>
      </c>
      <c r="BK25" s="135">
        <f t="shared" si="16"/>
        <v>-0.4</v>
      </c>
      <c r="BM25" s="28">
        <f t="shared" si="17"/>
        <v>21</v>
      </c>
      <c r="BN25" s="53">
        <v>1470</v>
      </c>
      <c r="BO25" s="57">
        <v>1617</v>
      </c>
      <c r="BP25" s="177">
        <v>945</v>
      </c>
      <c r="BQ25" s="188">
        <v>1039.5</v>
      </c>
      <c r="BR25" s="177">
        <v>1260</v>
      </c>
      <c r="BS25" s="67">
        <v>1386</v>
      </c>
      <c r="BT25" s="67">
        <v>1820.25</v>
      </c>
      <c r="BU25" s="72">
        <f t="shared" si="8"/>
        <v>577.5</v>
      </c>
      <c r="BV25" s="50">
        <f t="shared" si="9"/>
        <v>0.55555555555555558</v>
      </c>
      <c r="BW25" s="135">
        <f t="shared" si="27"/>
        <v>-0.25</v>
      </c>
    </row>
    <row r="26" spans="1:75" x14ac:dyDescent="0.3">
      <c r="A26" s="48">
        <v>22</v>
      </c>
      <c r="B26" s="16">
        <f t="shared" si="10"/>
        <v>22</v>
      </c>
      <c r="C26" s="69">
        <v>330</v>
      </c>
      <c r="D26" s="70">
        <v>363</v>
      </c>
      <c r="E26" s="65">
        <v>396</v>
      </c>
      <c r="F26" s="66">
        <v>435.6</v>
      </c>
      <c r="G26" s="177">
        <v>330</v>
      </c>
      <c r="H26" s="71">
        <v>363</v>
      </c>
      <c r="I26" s="72">
        <v>1135.5</v>
      </c>
      <c r="J26" s="72">
        <f t="shared" si="0"/>
        <v>72.600000000000023</v>
      </c>
      <c r="K26" s="50">
        <f t="shared" si="1"/>
        <v>0.20000000000000007</v>
      </c>
      <c r="L26" s="100">
        <f t="shared" si="18"/>
        <v>-1.6067493112947657</v>
      </c>
      <c r="M26" s="134">
        <f t="shared" si="19"/>
        <v>0.16666666666666671</v>
      </c>
      <c r="O26" s="28">
        <f t="shared" si="11"/>
        <v>22</v>
      </c>
      <c r="P26" s="53">
        <v>770</v>
      </c>
      <c r="Q26" s="57">
        <v>847</v>
      </c>
      <c r="R26" s="177">
        <v>440</v>
      </c>
      <c r="S26" s="188">
        <v>484</v>
      </c>
      <c r="T26" s="177">
        <v>550</v>
      </c>
      <c r="U26" s="67">
        <v>605</v>
      </c>
      <c r="V26" s="11">
        <v>1245.5</v>
      </c>
      <c r="W26" s="72">
        <f t="shared" si="2"/>
        <v>363</v>
      </c>
      <c r="X26" s="135">
        <f t="shared" si="20"/>
        <v>-0.25</v>
      </c>
      <c r="Y26" s="94">
        <f t="shared" si="21"/>
        <v>-1.5733471074380165</v>
      </c>
      <c r="AA26" s="28">
        <f t="shared" si="12"/>
        <v>22</v>
      </c>
      <c r="AB26" s="53">
        <v>880</v>
      </c>
      <c r="AC26" s="57">
        <v>968</v>
      </c>
      <c r="AD26" s="177">
        <v>550</v>
      </c>
      <c r="AE26" s="188">
        <v>605</v>
      </c>
      <c r="AF26" s="177">
        <v>1100</v>
      </c>
      <c r="AG26" s="67">
        <v>1210</v>
      </c>
      <c r="AH26" s="11">
        <v>1245.5</v>
      </c>
      <c r="AI26" s="72">
        <f t="shared" si="3"/>
        <v>605</v>
      </c>
      <c r="AJ26" s="139">
        <f t="shared" si="22"/>
        <v>-0.5</v>
      </c>
      <c r="AK26" s="94">
        <f t="shared" si="23"/>
        <v>-0.51425130469690883</v>
      </c>
      <c r="AM26" s="28">
        <f t="shared" si="13"/>
        <v>22</v>
      </c>
      <c r="AN26" s="53">
        <v>1540</v>
      </c>
      <c r="AO26" s="57">
        <v>1694</v>
      </c>
      <c r="AP26" s="177">
        <v>616</v>
      </c>
      <c r="AQ26" s="188">
        <v>677.6</v>
      </c>
      <c r="AR26" s="177">
        <v>1210</v>
      </c>
      <c r="AS26" s="67">
        <v>1331</v>
      </c>
      <c r="AT26" s="11">
        <v>1488.75</v>
      </c>
      <c r="AU26" s="72">
        <f t="shared" si="4"/>
        <v>1016.4</v>
      </c>
      <c r="AV26" s="50">
        <f t="shared" si="5"/>
        <v>1.5</v>
      </c>
      <c r="AW26" s="139">
        <f t="shared" si="14"/>
        <v>-0.49090909090909091</v>
      </c>
      <c r="AX26" s="94">
        <f t="shared" si="24"/>
        <v>-0.54485306465155325</v>
      </c>
      <c r="AZ26" s="28">
        <f t="shared" si="15"/>
        <v>22</v>
      </c>
      <c r="BA26" s="53">
        <v>1540</v>
      </c>
      <c r="BB26" s="57">
        <v>1694</v>
      </c>
      <c r="BC26" s="177">
        <v>660</v>
      </c>
      <c r="BD26" s="188">
        <v>726</v>
      </c>
      <c r="BE26" s="177">
        <v>1100</v>
      </c>
      <c r="BF26" s="67">
        <v>1210</v>
      </c>
      <c r="BG26" s="11">
        <v>1576.75</v>
      </c>
      <c r="BH26" s="72">
        <f t="shared" si="6"/>
        <v>968</v>
      </c>
      <c r="BI26" s="50">
        <f t="shared" si="7"/>
        <v>1.3333333333333333</v>
      </c>
      <c r="BJ26" s="50">
        <f t="shared" si="25"/>
        <v>-0.53955921991438083</v>
      </c>
      <c r="BK26" s="135">
        <f t="shared" si="16"/>
        <v>-0.4</v>
      </c>
      <c r="BM26" s="28">
        <f t="shared" si="17"/>
        <v>22</v>
      </c>
      <c r="BN26" s="53">
        <v>1540</v>
      </c>
      <c r="BO26" s="57">
        <v>1694</v>
      </c>
      <c r="BP26" s="177">
        <v>990</v>
      </c>
      <c r="BQ26" s="188">
        <v>1089</v>
      </c>
      <c r="BR26" s="177">
        <v>1320</v>
      </c>
      <c r="BS26" s="67">
        <v>1452</v>
      </c>
      <c r="BT26" s="67">
        <v>1906.75</v>
      </c>
      <c r="BU26" s="72">
        <f t="shared" si="8"/>
        <v>605</v>
      </c>
      <c r="BV26" s="50">
        <f t="shared" si="9"/>
        <v>0.55555555555555558</v>
      </c>
      <c r="BW26" s="135">
        <f t="shared" si="27"/>
        <v>-0.25</v>
      </c>
    </row>
    <row r="27" spans="1:75" x14ac:dyDescent="0.3">
      <c r="A27" s="48">
        <v>23</v>
      </c>
      <c r="B27" s="16">
        <f t="shared" si="10"/>
        <v>23</v>
      </c>
      <c r="C27" s="69">
        <v>345</v>
      </c>
      <c r="D27" s="70">
        <v>379.5</v>
      </c>
      <c r="E27" s="65">
        <v>414</v>
      </c>
      <c r="F27" s="66">
        <v>455.4</v>
      </c>
      <c r="G27" s="177">
        <v>345</v>
      </c>
      <c r="H27" s="71">
        <v>379.5</v>
      </c>
      <c r="I27" s="72">
        <v>1187</v>
      </c>
      <c r="J27" s="72">
        <f t="shared" si="0"/>
        <v>75.899999999999977</v>
      </c>
      <c r="K27" s="50">
        <f t="shared" si="1"/>
        <v>0.19999999999999993</v>
      </c>
      <c r="L27" s="100">
        <f t="shared" si="18"/>
        <v>-1.606499780412824</v>
      </c>
      <c r="M27" s="134">
        <f t="shared" si="19"/>
        <v>0.16666666666666663</v>
      </c>
      <c r="O27" s="28">
        <f t="shared" si="11"/>
        <v>23</v>
      </c>
      <c r="P27" s="53">
        <v>805</v>
      </c>
      <c r="Q27" s="57">
        <v>885.5</v>
      </c>
      <c r="R27" s="177">
        <v>460</v>
      </c>
      <c r="S27" s="188">
        <v>506</v>
      </c>
      <c r="T27" s="177">
        <v>575</v>
      </c>
      <c r="U27" s="67">
        <v>632.5</v>
      </c>
      <c r="V27" s="11">
        <v>1302</v>
      </c>
      <c r="W27" s="72">
        <f t="shared" si="2"/>
        <v>379.5</v>
      </c>
      <c r="X27" s="135">
        <f t="shared" si="20"/>
        <v>-0.25</v>
      </c>
      <c r="Y27" s="94">
        <f t="shared" si="21"/>
        <v>-1.5731225296442688</v>
      </c>
      <c r="AA27" s="28">
        <f t="shared" si="12"/>
        <v>23</v>
      </c>
      <c r="AB27" s="53">
        <v>920</v>
      </c>
      <c r="AC27" s="57">
        <v>1012</v>
      </c>
      <c r="AD27" s="177">
        <v>575</v>
      </c>
      <c r="AE27" s="188">
        <v>632.5</v>
      </c>
      <c r="AF27" s="177">
        <v>1150</v>
      </c>
      <c r="AG27" s="67">
        <v>1265</v>
      </c>
      <c r="AH27" s="11">
        <v>1302</v>
      </c>
      <c r="AI27" s="72">
        <f t="shared" si="3"/>
        <v>632.5</v>
      </c>
      <c r="AJ27" s="139">
        <f t="shared" si="22"/>
        <v>-0.5</v>
      </c>
      <c r="AK27" s="94">
        <f t="shared" si="23"/>
        <v>-0.5142089093701997</v>
      </c>
      <c r="AM27" s="28">
        <f t="shared" si="13"/>
        <v>23</v>
      </c>
      <c r="AN27" s="53">
        <v>1610</v>
      </c>
      <c r="AO27" s="57">
        <v>1771</v>
      </c>
      <c r="AP27" s="177">
        <v>644</v>
      </c>
      <c r="AQ27" s="188">
        <v>708.4</v>
      </c>
      <c r="AR27" s="177">
        <v>1265</v>
      </c>
      <c r="AS27" s="67">
        <v>1391.5</v>
      </c>
      <c r="AT27" s="11">
        <v>1556.25</v>
      </c>
      <c r="AU27" s="72">
        <f t="shared" si="4"/>
        <v>1062.5999999999999</v>
      </c>
      <c r="AV27" s="50">
        <f t="shared" si="5"/>
        <v>1.5</v>
      </c>
      <c r="AW27" s="139">
        <f t="shared" si="14"/>
        <v>-0.49090909090909091</v>
      </c>
      <c r="AX27" s="94">
        <f t="shared" si="24"/>
        <v>-0.54480321285140565</v>
      </c>
      <c r="AZ27" s="28">
        <f t="shared" si="15"/>
        <v>23</v>
      </c>
      <c r="BA27" s="53">
        <v>1610</v>
      </c>
      <c r="BB27" s="57">
        <v>1771</v>
      </c>
      <c r="BC27" s="177">
        <v>690</v>
      </c>
      <c r="BD27" s="188">
        <v>759</v>
      </c>
      <c r="BE27" s="177">
        <v>1150</v>
      </c>
      <c r="BF27" s="67">
        <v>1265</v>
      </c>
      <c r="BG27" s="11">
        <v>1648.25</v>
      </c>
      <c r="BH27" s="72">
        <f t="shared" si="6"/>
        <v>1012</v>
      </c>
      <c r="BI27" s="50">
        <f t="shared" si="7"/>
        <v>1.3333333333333333</v>
      </c>
      <c r="BJ27" s="50">
        <f t="shared" si="25"/>
        <v>-0.5395116032155316</v>
      </c>
      <c r="BK27" s="135">
        <f t="shared" si="16"/>
        <v>-0.4</v>
      </c>
      <c r="BM27" s="28">
        <f t="shared" si="17"/>
        <v>23</v>
      </c>
      <c r="BN27" s="53">
        <v>1610</v>
      </c>
      <c r="BO27" s="57">
        <v>1771</v>
      </c>
      <c r="BP27" s="177">
        <v>1035</v>
      </c>
      <c r="BQ27" s="188">
        <v>1138.5</v>
      </c>
      <c r="BR27" s="177">
        <v>1380</v>
      </c>
      <c r="BS27" s="67">
        <v>1518</v>
      </c>
      <c r="BT27" s="67">
        <v>1993.25</v>
      </c>
      <c r="BU27" s="72">
        <f t="shared" si="8"/>
        <v>632.5</v>
      </c>
      <c r="BV27" s="50">
        <f t="shared" si="9"/>
        <v>0.55555555555555558</v>
      </c>
      <c r="BW27" s="135">
        <f t="shared" si="27"/>
        <v>-0.25</v>
      </c>
    </row>
    <row r="28" spans="1:75" x14ac:dyDescent="0.3">
      <c r="A28" s="48">
        <v>24</v>
      </c>
      <c r="B28" s="16">
        <f t="shared" si="10"/>
        <v>24</v>
      </c>
      <c r="C28" s="69">
        <v>360</v>
      </c>
      <c r="D28" s="70">
        <v>396</v>
      </c>
      <c r="E28" s="65">
        <v>432</v>
      </c>
      <c r="F28" s="66">
        <v>475.2</v>
      </c>
      <c r="G28" s="177">
        <v>360</v>
      </c>
      <c r="H28" s="71">
        <v>396</v>
      </c>
      <c r="I28" s="72">
        <v>1238.5</v>
      </c>
      <c r="J28" s="72">
        <f t="shared" si="0"/>
        <v>79.199999999999989</v>
      </c>
      <c r="K28" s="50">
        <f t="shared" si="1"/>
        <v>0.19999999999999998</v>
      </c>
      <c r="L28" s="100">
        <f t="shared" si="18"/>
        <v>-1.6062710437710437</v>
      </c>
      <c r="M28" s="134">
        <f t="shared" si="19"/>
        <v>0.16666666666666666</v>
      </c>
      <c r="O28" s="28">
        <f t="shared" si="11"/>
        <v>24</v>
      </c>
      <c r="P28" s="53">
        <v>840</v>
      </c>
      <c r="Q28" s="57">
        <v>924</v>
      </c>
      <c r="R28" s="177">
        <v>480</v>
      </c>
      <c r="S28" s="188">
        <v>528</v>
      </c>
      <c r="T28" s="177">
        <v>600</v>
      </c>
      <c r="U28" s="67">
        <v>660</v>
      </c>
      <c r="V28" s="11">
        <v>1358.5</v>
      </c>
      <c r="W28" s="72">
        <f t="shared" si="2"/>
        <v>396</v>
      </c>
      <c r="X28" s="135">
        <f t="shared" si="20"/>
        <v>-0.25</v>
      </c>
      <c r="Y28" s="94">
        <f t="shared" si="21"/>
        <v>-1.5729166666666667</v>
      </c>
      <c r="AA28" s="28">
        <f t="shared" si="12"/>
        <v>24</v>
      </c>
      <c r="AB28" s="53">
        <v>960</v>
      </c>
      <c r="AC28" s="57">
        <v>1056</v>
      </c>
      <c r="AD28" s="177">
        <v>600</v>
      </c>
      <c r="AE28" s="188">
        <v>660</v>
      </c>
      <c r="AF28" s="177">
        <v>1200</v>
      </c>
      <c r="AG28" s="67">
        <v>1320</v>
      </c>
      <c r="AH28" s="11">
        <v>1358.5</v>
      </c>
      <c r="AI28" s="72">
        <f t="shared" si="3"/>
        <v>660</v>
      </c>
      <c r="AJ28" s="139">
        <f t="shared" si="22"/>
        <v>-0.5</v>
      </c>
      <c r="AK28" s="94">
        <f t="shared" si="23"/>
        <v>-0.51417004048582993</v>
      </c>
      <c r="AM28" s="28">
        <f t="shared" si="13"/>
        <v>24</v>
      </c>
      <c r="AN28" s="53">
        <v>1680</v>
      </c>
      <c r="AO28" s="57">
        <v>1848</v>
      </c>
      <c r="AP28" s="177">
        <v>672</v>
      </c>
      <c r="AQ28" s="188">
        <v>739.2</v>
      </c>
      <c r="AR28" s="177">
        <v>1320</v>
      </c>
      <c r="AS28" s="67">
        <v>1452</v>
      </c>
      <c r="AT28" s="11">
        <v>1623.75</v>
      </c>
      <c r="AU28" s="72">
        <f t="shared" si="4"/>
        <v>1108.8</v>
      </c>
      <c r="AV28" s="50">
        <f t="shared" si="5"/>
        <v>1.4999999999999998</v>
      </c>
      <c r="AW28" s="139">
        <f t="shared" si="14"/>
        <v>-0.49090909090909091</v>
      </c>
      <c r="AX28" s="94">
        <f t="shared" si="24"/>
        <v>-0.54475750577367199</v>
      </c>
      <c r="AZ28" s="28">
        <f t="shared" si="15"/>
        <v>24</v>
      </c>
      <c r="BA28" s="53">
        <v>1680</v>
      </c>
      <c r="BB28" s="57">
        <v>1848</v>
      </c>
      <c r="BC28" s="177">
        <v>720</v>
      </c>
      <c r="BD28" s="188">
        <v>792</v>
      </c>
      <c r="BE28" s="177">
        <v>1200</v>
      </c>
      <c r="BF28" s="67">
        <v>1320</v>
      </c>
      <c r="BG28" s="11">
        <v>1719.75</v>
      </c>
      <c r="BH28" s="72">
        <f t="shared" si="6"/>
        <v>1056</v>
      </c>
      <c r="BI28" s="50">
        <f t="shared" si="7"/>
        <v>1.3333333333333333</v>
      </c>
      <c r="BJ28" s="50">
        <f t="shared" si="25"/>
        <v>-0.53946794592237246</v>
      </c>
      <c r="BK28" s="135">
        <f t="shared" si="16"/>
        <v>-0.4</v>
      </c>
      <c r="BM28" s="28">
        <f t="shared" si="17"/>
        <v>24</v>
      </c>
      <c r="BN28" s="53">
        <v>1680</v>
      </c>
      <c r="BO28" s="57">
        <v>1848</v>
      </c>
      <c r="BP28" s="177">
        <v>1080</v>
      </c>
      <c r="BQ28" s="188">
        <v>1188</v>
      </c>
      <c r="BR28" s="177">
        <v>1440</v>
      </c>
      <c r="BS28" s="67">
        <v>1584</v>
      </c>
      <c r="BT28" s="67">
        <v>2079.75</v>
      </c>
      <c r="BU28" s="72">
        <f t="shared" si="8"/>
        <v>660</v>
      </c>
      <c r="BV28" s="50">
        <f t="shared" si="9"/>
        <v>0.55555555555555558</v>
      </c>
      <c r="BW28" s="135">
        <f t="shared" si="27"/>
        <v>-0.25</v>
      </c>
    </row>
    <row r="29" spans="1:75" x14ac:dyDescent="0.3">
      <c r="A29" s="48">
        <v>25</v>
      </c>
      <c r="B29" s="16">
        <f t="shared" si="10"/>
        <v>25</v>
      </c>
      <c r="C29" s="69">
        <v>375</v>
      </c>
      <c r="D29" s="70">
        <v>412.5</v>
      </c>
      <c r="E29" s="65">
        <v>450</v>
      </c>
      <c r="F29" s="66">
        <v>495</v>
      </c>
      <c r="G29" s="177">
        <v>375</v>
      </c>
      <c r="H29" s="71">
        <v>412.5</v>
      </c>
      <c r="I29" s="72">
        <v>1290</v>
      </c>
      <c r="J29" s="72">
        <f t="shared" si="0"/>
        <v>82.5</v>
      </c>
      <c r="K29" s="50">
        <f t="shared" si="1"/>
        <v>0.2</v>
      </c>
      <c r="L29" s="100">
        <f t="shared" si="18"/>
        <v>-1.606060606060606</v>
      </c>
      <c r="M29" s="134">
        <f t="shared" si="19"/>
        <v>0.16666666666666666</v>
      </c>
      <c r="O29" s="28">
        <f t="shared" si="11"/>
        <v>25</v>
      </c>
      <c r="P29" s="53">
        <v>875</v>
      </c>
      <c r="Q29" s="57">
        <v>962.5</v>
      </c>
      <c r="R29" s="177">
        <v>500</v>
      </c>
      <c r="S29" s="188">
        <v>550</v>
      </c>
      <c r="T29" s="177">
        <v>625</v>
      </c>
      <c r="U29" s="67">
        <v>687.5</v>
      </c>
      <c r="V29" s="11">
        <v>1415</v>
      </c>
      <c r="W29" s="72">
        <f t="shared" si="2"/>
        <v>412.5</v>
      </c>
      <c r="X29" s="135">
        <f t="shared" si="20"/>
        <v>-0.25</v>
      </c>
      <c r="Y29" s="94">
        <f t="shared" si="21"/>
        <v>-1.5727272727272728</v>
      </c>
      <c r="AA29" s="28">
        <f t="shared" si="12"/>
        <v>25</v>
      </c>
      <c r="AB29" s="53">
        <v>1000</v>
      </c>
      <c r="AC29" s="57">
        <v>1100</v>
      </c>
      <c r="AD29" s="177">
        <v>625</v>
      </c>
      <c r="AE29" s="188">
        <v>687.5</v>
      </c>
      <c r="AF29" s="177">
        <v>1250</v>
      </c>
      <c r="AG29" s="67">
        <v>1375</v>
      </c>
      <c r="AH29" s="11">
        <v>1415</v>
      </c>
      <c r="AI29" s="72">
        <f t="shared" si="3"/>
        <v>687.5</v>
      </c>
      <c r="AJ29" s="139">
        <f t="shared" si="22"/>
        <v>-0.5</v>
      </c>
      <c r="AK29" s="94">
        <f t="shared" si="23"/>
        <v>-0.51413427561837455</v>
      </c>
      <c r="AM29" s="28">
        <f t="shared" si="13"/>
        <v>25</v>
      </c>
      <c r="AN29" s="53">
        <v>1750</v>
      </c>
      <c r="AO29" s="57">
        <v>1925</v>
      </c>
      <c r="AP29" s="177">
        <v>700</v>
      </c>
      <c r="AQ29" s="188">
        <v>770</v>
      </c>
      <c r="AR29" s="177">
        <v>1375</v>
      </c>
      <c r="AS29" s="67">
        <v>1512.5</v>
      </c>
      <c r="AT29" s="11">
        <v>1691.25</v>
      </c>
      <c r="AU29" s="72">
        <f t="shared" si="4"/>
        <v>1155</v>
      </c>
      <c r="AV29" s="50">
        <f t="shared" si="5"/>
        <v>1.5</v>
      </c>
      <c r="AW29" s="139">
        <f t="shared" si="14"/>
        <v>-0.49090909090909091</v>
      </c>
      <c r="AX29" s="94">
        <f t="shared" si="24"/>
        <v>-0.54471544715447151</v>
      </c>
      <c r="AZ29" s="28">
        <f t="shared" si="15"/>
        <v>25</v>
      </c>
      <c r="BA29" s="53">
        <v>1750</v>
      </c>
      <c r="BB29" s="57">
        <v>1925</v>
      </c>
      <c r="BC29" s="177">
        <v>750</v>
      </c>
      <c r="BD29" s="188">
        <v>825</v>
      </c>
      <c r="BE29" s="177">
        <v>1250</v>
      </c>
      <c r="BF29" s="67">
        <v>1375</v>
      </c>
      <c r="BG29" s="11">
        <v>1791.25</v>
      </c>
      <c r="BH29" s="72">
        <f t="shared" si="6"/>
        <v>1100</v>
      </c>
      <c r="BI29" s="50">
        <f t="shared" si="7"/>
        <v>1.3333333333333333</v>
      </c>
      <c r="BJ29" s="50">
        <f t="shared" si="25"/>
        <v>-0.53942777390090724</v>
      </c>
      <c r="BK29" s="135">
        <f t="shared" si="16"/>
        <v>-0.4</v>
      </c>
      <c r="BM29" s="28">
        <f t="shared" si="17"/>
        <v>25</v>
      </c>
      <c r="BN29" s="53">
        <v>1750</v>
      </c>
      <c r="BO29" s="57">
        <v>1925</v>
      </c>
      <c r="BP29" s="177">
        <v>1125</v>
      </c>
      <c r="BQ29" s="188">
        <v>1237.5</v>
      </c>
      <c r="BR29" s="177">
        <v>1500</v>
      </c>
      <c r="BS29" s="67">
        <v>1650</v>
      </c>
      <c r="BT29" s="67">
        <v>2166.25</v>
      </c>
      <c r="BU29" s="72">
        <f t="shared" si="8"/>
        <v>687.5</v>
      </c>
      <c r="BV29" s="50">
        <f t="shared" si="9"/>
        <v>0.55555555555555558</v>
      </c>
      <c r="BW29" s="135">
        <f t="shared" si="27"/>
        <v>-0.25</v>
      </c>
    </row>
    <row r="30" spans="1:75" x14ac:dyDescent="0.3">
      <c r="A30" s="48">
        <v>26</v>
      </c>
      <c r="B30" s="16">
        <f t="shared" si="10"/>
        <v>26</v>
      </c>
      <c r="C30" s="69">
        <v>390</v>
      </c>
      <c r="D30" s="70">
        <v>429</v>
      </c>
      <c r="E30" s="65">
        <v>468</v>
      </c>
      <c r="F30" s="66">
        <v>514.79999999999995</v>
      </c>
      <c r="G30" s="177">
        <v>390</v>
      </c>
      <c r="H30" s="71">
        <v>429</v>
      </c>
      <c r="I30" s="72">
        <v>1341.5</v>
      </c>
      <c r="J30" s="72">
        <f t="shared" si="0"/>
        <v>85.799999999999955</v>
      </c>
      <c r="K30" s="50">
        <f t="shared" si="1"/>
        <v>0.1999999999999999</v>
      </c>
      <c r="L30" s="100">
        <f t="shared" si="18"/>
        <v>-1.6058663558663562</v>
      </c>
      <c r="M30" s="134">
        <f t="shared" si="19"/>
        <v>0.1666666666666666</v>
      </c>
      <c r="O30" s="28">
        <f t="shared" si="11"/>
        <v>26</v>
      </c>
      <c r="P30" s="53">
        <v>910</v>
      </c>
      <c r="Q30" s="57">
        <v>1001</v>
      </c>
      <c r="R30" s="177">
        <v>520</v>
      </c>
      <c r="S30" s="188">
        <v>572</v>
      </c>
      <c r="T30" s="177">
        <v>650</v>
      </c>
      <c r="U30" s="67">
        <v>715</v>
      </c>
      <c r="V30" s="11">
        <v>1471.5</v>
      </c>
      <c r="W30" s="72">
        <f t="shared" si="2"/>
        <v>429</v>
      </c>
      <c r="X30" s="135">
        <f t="shared" si="20"/>
        <v>-0.25</v>
      </c>
      <c r="Y30" s="94">
        <f t="shared" si="21"/>
        <v>-1.5725524475524475</v>
      </c>
      <c r="AA30" s="28">
        <f t="shared" si="12"/>
        <v>26</v>
      </c>
      <c r="AB30" s="53">
        <v>1040</v>
      </c>
      <c r="AC30" s="57">
        <v>1144</v>
      </c>
      <c r="AD30" s="177">
        <v>650</v>
      </c>
      <c r="AE30" s="188">
        <v>715</v>
      </c>
      <c r="AF30" s="177">
        <v>1300</v>
      </c>
      <c r="AG30" s="67">
        <v>1430</v>
      </c>
      <c r="AH30" s="11">
        <v>1471.5</v>
      </c>
      <c r="AI30" s="72">
        <f t="shared" si="3"/>
        <v>715</v>
      </c>
      <c r="AJ30" s="139">
        <f t="shared" si="22"/>
        <v>-0.5</v>
      </c>
      <c r="AK30" s="94">
        <f t="shared" si="23"/>
        <v>-0.51410125722052324</v>
      </c>
      <c r="AM30" s="28">
        <f t="shared" si="13"/>
        <v>26</v>
      </c>
      <c r="AN30" s="53">
        <v>1820</v>
      </c>
      <c r="AO30" s="57">
        <v>2002</v>
      </c>
      <c r="AP30" s="177">
        <v>728</v>
      </c>
      <c r="AQ30" s="188">
        <v>800.8</v>
      </c>
      <c r="AR30" s="177">
        <v>1430</v>
      </c>
      <c r="AS30" s="67">
        <v>1573</v>
      </c>
      <c r="AT30" s="11">
        <v>1758.75</v>
      </c>
      <c r="AU30" s="72">
        <f t="shared" si="4"/>
        <v>1201.2</v>
      </c>
      <c r="AV30" s="50">
        <f t="shared" si="5"/>
        <v>1.5000000000000002</v>
      </c>
      <c r="AW30" s="139">
        <f t="shared" si="14"/>
        <v>-0.49090909090909091</v>
      </c>
      <c r="AX30" s="94">
        <f t="shared" si="24"/>
        <v>-0.54467661691542291</v>
      </c>
      <c r="AZ30" s="28">
        <f t="shared" si="15"/>
        <v>26</v>
      </c>
      <c r="BA30" s="53">
        <v>1820</v>
      </c>
      <c r="BB30" s="57">
        <v>2002</v>
      </c>
      <c r="BC30" s="177">
        <v>780</v>
      </c>
      <c r="BD30" s="188">
        <v>858</v>
      </c>
      <c r="BE30" s="177">
        <v>1300</v>
      </c>
      <c r="BF30" s="67">
        <v>1430</v>
      </c>
      <c r="BG30" s="11">
        <v>1862.75</v>
      </c>
      <c r="BH30" s="72">
        <f t="shared" si="6"/>
        <v>1144</v>
      </c>
      <c r="BI30" s="50">
        <f t="shared" si="7"/>
        <v>1.3333333333333333</v>
      </c>
      <c r="BJ30" s="50">
        <f t="shared" si="25"/>
        <v>-0.53939068581398475</v>
      </c>
      <c r="BK30" s="135">
        <f t="shared" si="16"/>
        <v>-0.4</v>
      </c>
      <c r="BM30" s="28">
        <f t="shared" si="17"/>
        <v>26</v>
      </c>
      <c r="BN30" s="53">
        <v>1820</v>
      </c>
      <c r="BO30" s="57">
        <v>2002</v>
      </c>
      <c r="BP30" s="177">
        <v>1170</v>
      </c>
      <c r="BQ30" s="188">
        <v>1287</v>
      </c>
      <c r="BR30" s="177">
        <v>1560</v>
      </c>
      <c r="BS30" s="67">
        <v>1716</v>
      </c>
      <c r="BT30" s="67">
        <v>2252.75</v>
      </c>
      <c r="BU30" s="72">
        <f t="shared" si="8"/>
        <v>715</v>
      </c>
      <c r="BV30" s="50">
        <f t="shared" si="9"/>
        <v>0.55555555555555558</v>
      </c>
      <c r="BW30" s="135">
        <f t="shared" si="27"/>
        <v>-0.25</v>
      </c>
    </row>
    <row r="31" spans="1:75" x14ac:dyDescent="0.3">
      <c r="A31" s="48">
        <v>27</v>
      </c>
      <c r="B31" s="16">
        <f t="shared" si="10"/>
        <v>27</v>
      </c>
      <c r="C31" s="69">
        <v>405</v>
      </c>
      <c r="D31" s="70">
        <v>445.5</v>
      </c>
      <c r="E31" s="65">
        <v>486</v>
      </c>
      <c r="F31" s="66">
        <v>534.6</v>
      </c>
      <c r="G31" s="177">
        <v>405</v>
      </c>
      <c r="H31" s="71">
        <v>445.5</v>
      </c>
      <c r="I31" s="72">
        <v>1393</v>
      </c>
      <c r="J31" s="72">
        <f t="shared" si="0"/>
        <v>89.100000000000023</v>
      </c>
      <c r="K31" s="50">
        <f t="shared" si="1"/>
        <v>0.20000000000000004</v>
      </c>
      <c r="L31" s="100">
        <f t="shared" si="18"/>
        <v>-1.6056864945753833</v>
      </c>
      <c r="M31" s="134">
        <f t="shared" si="19"/>
        <v>0.16666666666666671</v>
      </c>
      <c r="O31" s="28">
        <f t="shared" si="11"/>
        <v>27</v>
      </c>
      <c r="P31" s="53">
        <v>945</v>
      </c>
      <c r="Q31" s="57">
        <v>1039.5</v>
      </c>
      <c r="R31" s="177">
        <v>540</v>
      </c>
      <c r="S31" s="188">
        <v>594</v>
      </c>
      <c r="T31" s="177">
        <v>675</v>
      </c>
      <c r="U31" s="67">
        <v>742.5</v>
      </c>
      <c r="V31" s="11">
        <v>1528</v>
      </c>
      <c r="W31" s="72">
        <f t="shared" si="2"/>
        <v>445.5</v>
      </c>
      <c r="X31" s="135">
        <f t="shared" si="20"/>
        <v>-0.25</v>
      </c>
      <c r="Y31" s="94">
        <f t="shared" si="21"/>
        <v>-1.5723905723905724</v>
      </c>
      <c r="AA31" s="28">
        <f t="shared" si="12"/>
        <v>27</v>
      </c>
      <c r="AB31" s="53">
        <v>1080</v>
      </c>
      <c r="AC31" s="57">
        <v>1188</v>
      </c>
      <c r="AD31" s="177">
        <v>675</v>
      </c>
      <c r="AE31" s="188">
        <v>742.5</v>
      </c>
      <c r="AF31" s="177">
        <v>1350</v>
      </c>
      <c r="AG31" s="67">
        <v>1485</v>
      </c>
      <c r="AH31" s="11">
        <v>1528</v>
      </c>
      <c r="AI31" s="72">
        <f t="shared" si="3"/>
        <v>742.5</v>
      </c>
      <c r="AJ31" s="139">
        <f t="shared" si="22"/>
        <v>-0.5</v>
      </c>
      <c r="AK31" s="94">
        <f t="shared" si="23"/>
        <v>-0.51407068062827221</v>
      </c>
      <c r="AM31" s="28">
        <f t="shared" si="13"/>
        <v>27</v>
      </c>
      <c r="AN31" s="53">
        <v>1890</v>
      </c>
      <c r="AO31" s="57">
        <v>2079</v>
      </c>
      <c r="AP31" s="177">
        <v>756</v>
      </c>
      <c r="AQ31" s="188">
        <v>831.6</v>
      </c>
      <c r="AR31" s="177">
        <v>1485</v>
      </c>
      <c r="AS31" s="67">
        <v>1633.5</v>
      </c>
      <c r="AT31" s="11">
        <v>1826.25</v>
      </c>
      <c r="AU31" s="72">
        <f t="shared" si="4"/>
        <v>1247.4000000000001</v>
      </c>
      <c r="AV31" s="50">
        <f t="shared" si="5"/>
        <v>1.5</v>
      </c>
      <c r="AW31" s="139">
        <f t="shared" si="14"/>
        <v>-0.49090909090909091</v>
      </c>
      <c r="AX31" s="94">
        <f t="shared" si="24"/>
        <v>-0.54464065708418885</v>
      </c>
      <c r="AZ31" s="28">
        <f t="shared" si="15"/>
        <v>27</v>
      </c>
      <c r="BA31" s="53">
        <v>1890</v>
      </c>
      <c r="BB31" s="57">
        <v>2079</v>
      </c>
      <c r="BC31" s="177">
        <v>810</v>
      </c>
      <c r="BD31" s="188">
        <v>891</v>
      </c>
      <c r="BE31" s="177">
        <v>1350</v>
      </c>
      <c r="BF31" s="67">
        <v>1485</v>
      </c>
      <c r="BG31" s="11">
        <v>1934.25</v>
      </c>
      <c r="BH31" s="72">
        <f t="shared" si="6"/>
        <v>1188</v>
      </c>
      <c r="BI31" s="50">
        <f t="shared" si="7"/>
        <v>1.3333333333333333</v>
      </c>
      <c r="BJ31" s="50">
        <f t="shared" si="25"/>
        <v>-0.5393563396665374</v>
      </c>
      <c r="BK31" s="135">
        <f t="shared" si="16"/>
        <v>-0.4</v>
      </c>
      <c r="BM31" s="28">
        <f t="shared" si="17"/>
        <v>27</v>
      </c>
      <c r="BN31" s="53">
        <v>1890</v>
      </c>
      <c r="BO31" s="57">
        <v>2079</v>
      </c>
      <c r="BP31" s="177">
        <v>1215</v>
      </c>
      <c r="BQ31" s="188">
        <v>1336.5</v>
      </c>
      <c r="BR31" s="177">
        <v>1620</v>
      </c>
      <c r="BS31" s="67">
        <v>1782</v>
      </c>
      <c r="BT31" s="67">
        <v>2339.25</v>
      </c>
      <c r="BU31" s="72">
        <f t="shared" si="8"/>
        <v>742.5</v>
      </c>
      <c r="BV31" s="50">
        <f t="shared" si="9"/>
        <v>0.55555555555555558</v>
      </c>
      <c r="BW31" s="135">
        <f t="shared" si="27"/>
        <v>-0.25</v>
      </c>
    </row>
    <row r="32" spans="1:75" x14ac:dyDescent="0.3">
      <c r="A32" s="48">
        <v>28</v>
      </c>
      <c r="B32" s="16">
        <f t="shared" si="10"/>
        <v>28</v>
      </c>
      <c r="C32" s="69">
        <v>420</v>
      </c>
      <c r="D32" s="70">
        <v>462</v>
      </c>
      <c r="E32" s="65">
        <v>504</v>
      </c>
      <c r="F32" s="66">
        <v>554.4</v>
      </c>
      <c r="G32" s="177">
        <v>420</v>
      </c>
      <c r="H32" s="71">
        <v>462</v>
      </c>
      <c r="I32" s="72">
        <v>1444.5</v>
      </c>
      <c r="J32" s="72">
        <f t="shared" si="0"/>
        <v>92.399999999999977</v>
      </c>
      <c r="K32" s="50">
        <f t="shared" si="1"/>
        <v>0.19999999999999996</v>
      </c>
      <c r="L32" s="100">
        <f t="shared" si="18"/>
        <v>-1.6055194805194806</v>
      </c>
      <c r="M32" s="134">
        <f t="shared" si="19"/>
        <v>0.16666666666666663</v>
      </c>
      <c r="O32" s="28">
        <f t="shared" si="11"/>
        <v>28</v>
      </c>
      <c r="P32" s="53">
        <v>980</v>
      </c>
      <c r="Q32" s="57">
        <v>1078</v>
      </c>
      <c r="R32" s="177">
        <v>560</v>
      </c>
      <c r="S32" s="188">
        <v>616</v>
      </c>
      <c r="T32" s="177">
        <v>700</v>
      </c>
      <c r="U32" s="67">
        <v>770</v>
      </c>
      <c r="V32" s="11">
        <v>1584.5</v>
      </c>
      <c r="W32" s="72">
        <f t="shared" si="2"/>
        <v>462</v>
      </c>
      <c r="X32" s="135">
        <f t="shared" si="20"/>
        <v>-0.25</v>
      </c>
      <c r="Y32" s="94">
        <f t="shared" si="21"/>
        <v>-1.5722402597402598</v>
      </c>
      <c r="AA32" s="28">
        <f t="shared" si="12"/>
        <v>28</v>
      </c>
      <c r="AB32" s="53">
        <v>1120</v>
      </c>
      <c r="AC32" s="57">
        <v>1232</v>
      </c>
      <c r="AD32" s="177">
        <v>700</v>
      </c>
      <c r="AE32" s="188">
        <v>770</v>
      </c>
      <c r="AF32" s="177">
        <v>1400</v>
      </c>
      <c r="AG32" s="67">
        <v>1540</v>
      </c>
      <c r="AH32" s="11">
        <v>1584.5</v>
      </c>
      <c r="AI32" s="72">
        <f t="shared" si="3"/>
        <v>770</v>
      </c>
      <c r="AJ32" s="139">
        <f t="shared" si="22"/>
        <v>-0.5</v>
      </c>
      <c r="AK32" s="94">
        <f t="shared" si="23"/>
        <v>-0.51404228463237611</v>
      </c>
      <c r="AM32" s="28">
        <f t="shared" si="13"/>
        <v>28</v>
      </c>
      <c r="AN32" s="53">
        <v>1960</v>
      </c>
      <c r="AO32" s="57">
        <v>2156</v>
      </c>
      <c r="AP32" s="177">
        <v>784</v>
      </c>
      <c r="AQ32" s="188">
        <v>862.4</v>
      </c>
      <c r="AR32" s="177">
        <v>1540</v>
      </c>
      <c r="AS32" s="67">
        <v>1694</v>
      </c>
      <c r="AT32" s="11">
        <v>1893.75</v>
      </c>
      <c r="AU32" s="72">
        <f t="shared" si="4"/>
        <v>1293.5999999999999</v>
      </c>
      <c r="AV32" s="50">
        <f t="shared" si="5"/>
        <v>1.5</v>
      </c>
      <c r="AW32" s="139">
        <f t="shared" si="14"/>
        <v>-0.49090909090909091</v>
      </c>
      <c r="AX32" s="94">
        <f t="shared" si="24"/>
        <v>-0.54460726072607257</v>
      </c>
      <c r="AZ32" s="28">
        <f t="shared" si="15"/>
        <v>28</v>
      </c>
      <c r="BA32" s="53">
        <v>1960</v>
      </c>
      <c r="BB32" s="57">
        <v>2156</v>
      </c>
      <c r="BC32" s="177">
        <v>840</v>
      </c>
      <c r="BD32" s="188">
        <v>924</v>
      </c>
      <c r="BE32" s="177">
        <v>1400</v>
      </c>
      <c r="BF32" s="67">
        <v>1540</v>
      </c>
      <c r="BG32" s="11">
        <v>2005.75</v>
      </c>
      <c r="BH32" s="72">
        <f t="shared" si="6"/>
        <v>1232</v>
      </c>
      <c r="BI32" s="50">
        <f t="shared" si="7"/>
        <v>1.3333333333333333</v>
      </c>
      <c r="BJ32" s="50">
        <f t="shared" si="25"/>
        <v>-0.53932444222859277</v>
      </c>
      <c r="BK32" s="135">
        <f t="shared" si="16"/>
        <v>-0.4</v>
      </c>
      <c r="BM32" s="28">
        <f t="shared" si="17"/>
        <v>28</v>
      </c>
      <c r="BN32" s="53">
        <v>1960</v>
      </c>
      <c r="BO32" s="57">
        <v>2156</v>
      </c>
      <c r="BP32" s="177">
        <v>1260</v>
      </c>
      <c r="BQ32" s="188">
        <v>1386</v>
      </c>
      <c r="BR32" s="177">
        <v>1680</v>
      </c>
      <c r="BS32" s="67">
        <v>1848</v>
      </c>
      <c r="BT32" s="67">
        <v>2425.75</v>
      </c>
      <c r="BU32" s="72">
        <f t="shared" si="8"/>
        <v>770</v>
      </c>
      <c r="BV32" s="50">
        <f t="shared" si="9"/>
        <v>0.55555555555555558</v>
      </c>
      <c r="BW32" s="135">
        <f t="shared" si="27"/>
        <v>-0.25</v>
      </c>
    </row>
    <row r="33" spans="1:75" x14ac:dyDescent="0.3">
      <c r="A33" s="48">
        <v>29</v>
      </c>
      <c r="B33" s="16">
        <f t="shared" si="10"/>
        <v>29</v>
      </c>
      <c r="C33" s="69">
        <v>435</v>
      </c>
      <c r="D33" s="70">
        <v>478.5</v>
      </c>
      <c r="E33" s="65">
        <v>522</v>
      </c>
      <c r="F33" s="66">
        <v>574.20000000000005</v>
      </c>
      <c r="G33" s="177">
        <v>435</v>
      </c>
      <c r="H33" s="71">
        <v>478.5</v>
      </c>
      <c r="I33" s="72">
        <v>1496</v>
      </c>
      <c r="J33" s="72">
        <f t="shared" si="0"/>
        <v>95.700000000000045</v>
      </c>
      <c r="K33" s="50">
        <f t="shared" si="1"/>
        <v>0.20000000000000009</v>
      </c>
      <c r="L33" s="100">
        <f t="shared" si="18"/>
        <v>-1.6053639846743293</v>
      </c>
      <c r="M33" s="134">
        <f t="shared" si="19"/>
        <v>0.16666666666666674</v>
      </c>
      <c r="O33" s="28">
        <f t="shared" si="11"/>
        <v>29</v>
      </c>
      <c r="P33" s="53">
        <v>1015</v>
      </c>
      <c r="Q33" s="57">
        <v>1116.5</v>
      </c>
      <c r="R33" s="177">
        <v>580</v>
      </c>
      <c r="S33" s="188">
        <v>638</v>
      </c>
      <c r="T33" s="177">
        <v>725</v>
      </c>
      <c r="U33" s="67">
        <v>797.5</v>
      </c>
      <c r="V33" s="11">
        <v>1641</v>
      </c>
      <c r="W33" s="72">
        <f t="shared" si="2"/>
        <v>478.5</v>
      </c>
      <c r="X33" s="135">
        <f t="shared" si="20"/>
        <v>-0.25</v>
      </c>
      <c r="Y33" s="94">
        <f t="shared" si="21"/>
        <v>-1.5721003134796239</v>
      </c>
      <c r="AA33" s="28">
        <f t="shared" si="12"/>
        <v>29</v>
      </c>
      <c r="AB33" s="53">
        <v>1160</v>
      </c>
      <c r="AC33" s="57">
        <v>1276</v>
      </c>
      <c r="AD33" s="177">
        <v>725</v>
      </c>
      <c r="AE33" s="188">
        <v>797.5</v>
      </c>
      <c r="AF33" s="177">
        <v>1450</v>
      </c>
      <c r="AG33" s="67">
        <v>1595</v>
      </c>
      <c r="AH33" s="11">
        <v>1641</v>
      </c>
      <c r="AI33" s="72">
        <f t="shared" si="3"/>
        <v>797.5</v>
      </c>
      <c r="AJ33" s="139">
        <f t="shared" si="22"/>
        <v>-0.5</v>
      </c>
      <c r="AK33" s="94">
        <f t="shared" si="23"/>
        <v>-0.5140158439975625</v>
      </c>
      <c r="AM33" s="28">
        <f t="shared" si="13"/>
        <v>29</v>
      </c>
      <c r="AN33" s="53">
        <v>2030</v>
      </c>
      <c r="AO33" s="57">
        <v>2233</v>
      </c>
      <c r="AP33" s="177">
        <v>812</v>
      </c>
      <c r="AQ33" s="188">
        <v>893.2</v>
      </c>
      <c r="AR33" s="177">
        <v>1595</v>
      </c>
      <c r="AS33" s="67">
        <v>1754.5</v>
      </c>
      <c r="AT33" s="11">
        <v>1961.25</v>
      </c>
      <c r="AU33" s="72">
        <f t="shared" si="4"/>
        <v>1339.8</v>
      </c>
      <c r="AV33" s="50">
        <f t="shared" si="5"/>
        <v>1.4999999999999998</v>
      </c>
      <c r="AW33" s="139">
        <f t="shared" si="14"/>
        <v>-0.49090909090909091</v>
      </c>
      <c r="AX33" s="94">
        <f t="shared" si="24"/>
        <v>-0.54457616316124913</v>
      </c>
      <c r="AZ33" s="28">
        <f t="shared" si="15"/>
        <v>29</v>
      </c>
      <c r="BA33" s="53">
        <v>2030</v>
      </c>
      <c r="BB33" s="57">
        <v>2233</v>
      </c>
      <c r="BC33" s="177">
        <v>870</v>
      </c>
      <c r="BD33" s="188">
        <v>957</v>
      </c>
      <c r="BE33" s="177">
        <v>1450</v>
      </c>
      <c r="BF33" s="67">
        <v>1595</v>
      </c>
      <c r="BG33" s="11">
        <v>2077.25</v>
      </c>
      <c r="BH33" s="72">
        <f t="shared" si="6"/>
        <v>1276</v>
      </c>
      <c r="BI33" s="50">
        <f t="shared" si="7"/>
        <v>1.3333333333333333</v>
      </c>
      <c r="BJ33" s="50">
        <f t="shared" si="25"/>
        <v>-0.53929474064267657</v>
      </c>
      <c r="BK33" s="135">
        <f t="shared" si="16"/>
        <v>-0.4</v>
      </c>
      <c r="BM33" s="28">
        <f t="shared" si="17"/>
        <v>29</v>
      </c>
      <c r="BN33" s="53">
        <v>2030</v>
      </c>
      <c r="BO33" s="57">
        <v>2233</v>
      </c>
      <c r="BP33" s="177">
        <v>1305</v>
      </c>
      <c r="BQ33" s="188">
        <v>1435.5</v>
      </c>
      <c r="BR33" s="177">
        <v>1740</v>
      </c>
      <c r="BS33" s="67">
        <v>1914</v>
      </c>
      <c r="BT33" s="67">
        <v>2512.25</v>
      </c>
      <c r="BU33" s="72">
        <f t="shared" si="8"/>
        <v>797.5</v>
      </c>
      <c r="BV33" s="50">
        <f t="shared" si="9"/>
        <v>0.55555555555555558</v>
      </c>
      <c r="BW33" s="135">
        <f t="shared" si="27"/>
        <v>-0.25</v>
      </c>
    </row>
    <row r="34" spans="1:75" x14ac:dyDescent="0.3">
      <c r="A34" s="48">
        <v>30</v>
      </c>
      <c r="B34" s="16">
        <f t="shared" si="10"/>
        <v>30</v>
      </c>
      <c r="C34" s="69">
        <v>450</v>
      </c>
      <c r="D34" s="70">
        <v>495</v>
      </c>
      <c r="E34" s="65">
        <v>540</v>
      </c>
      <c r="F34" s="66">
        <v>594</v>
      </c>
      <c r="G34" s="177">
        <v>450</v>
      </c>
      <c r="H34" s="71">
        <v>495</v>
      </c>
      <c r="I34" s="72">
        <v>1547.5</v>
      </c>
      <c r="J34" s="72">
        <f t="shared" si="0"/>
        <v>99</v>
      </c>
      <c r="K34" s="50">
        <f t="shared" si="1"/>
        <v>0.2</v>
      </c>
      <c r="L34" s="100">
        <f t="shared" si="18"/>
        <v>-1.6052188552188553</v>
      </c>
      <c r="M34" s="134">
        <f t="shared" si="19"/>
        <v>0.16666666666666666</v>
      </c>
      <c r="O34" s="28">
        <f t="shared" si="11"/>
        <v>30</v>
      </c>
      <c r="P34" s="53">
        <v>1050</v>
      </c>
      <c r="Q34" s="57">
        <v>1155</v>
      </c>
      <c r="R34" s="177">
        <v>600</v>
      </c>
      <c r="S34" s="188">
        <v>660</v>
      </c>
      <c r="T34" s="177">
        <v>750</v>
      </c>
      <c r="U34" s="67">
        <v>825</v>
      </c>
      <c r="V34" s="11">
        <v>1697.5</v>
      </c>
      <c r="W34" s="72">
        <f t="shared" si="2"/>
        <v>495</v>
      </c>
      <c r="X34" s="135">
        <f t="shared" si="20"/>
        <v>-0.25</v>
      </c>
      <c r="Y34" s="94">
        <f t="shared" si="21"/>
        <v>-1.571969696969697</v>
      </c>
      <c r="AA34" s="28">
        <f t="shared" si="12"/>
        <v>30</v>
      </c>
      <c r="AB34" s="53">
        <v>1200</v>
      </c>
      <c r="AC34" s="57">
        <v>1320</v>
      </c>
      <c r="AD34" s="177">
        <v>750</v>
      </c>
      <c r="AE34" s="188">
        <v>825</v>
      </c>
      <c r="AF34" s="177">
        <v>1500</v>
      </c>
      <c r="AG34" s="67">
        <v>1650</v>
      </c>
      <c r="AH34" s="11">
        <v>1697.5</v>
      </c>
      <c r="AI34" s="72">
        <f t="shared" si="3"/>
        <v>825</v>
      </c>
      <c r="AJ34" s="139">
        <f t="shared" si="22"/>
        <v>-0.5</v>
      </c>
      <c r="AK34" s="94">
        <f t="shared" si="23"/>
        <v>-0.51399116347569951</v>
      </c>
      <c r="AM34" s="28">
        <f t="shared" si="13"/>
        <v>30</v>
      </c>
      <c r="AN34" s="53">
        <v>2100</v>
      </c>
      <c r="AO34" s="57">
        <v>2310</v>
      </c>
      <c r="AP34" s="177">
        <v>840</v>
      </c>
      <c r="AQ34" s="188">
        <v>924</v>
      </c>
      <c r="AR34" s="177">
        <v>1650</v>
      </c>
      <c r="AS34" s="67">
        <v>1815</v>
      </c>
      <c r="AT34" s="11">
        <v>2028.75</v>
      </c>
      <c r="AU34" s="72">
        <f t="shared" si="4"/>
        <v>1386</v>
      </c>
      <c r="AV34" s="50">
        <f t="shared" si="5"/>
        <v>1.5</v>
      </c>
      <c r="AW34" s="139">
        <f t="shared" si="14"/>
        <v>-0.49090909090909091</v>
      </c>
      <c r="AX34" s="94">
        <f t="shared" si="24"/>
        <v>-0.54454713493530504</v>
      </c>
      <c r="AZ34" s="28">
        <f t="shared" si="15"/>
        <v>30</v>
      </c>
      <c r="BA34" s="53">
        <v>2100</v>
      </c>
      <c r="BB34" s="57">
        <v>2310</v>
      </c>
      <c r="BC34" s="177">
        <v>900</v>
      </c>
      <c r="BD34" s="188">
        <v>990</v>
      </c>
      <c r="BE34" s="177">
        <v>1500</v>
      </c>
      <c r="BF34" s="67">
        <v>1650</v>
      </c>
      <c r="BG34" s="11">
        <v>2148.75</v>
      </c>
      <c r="BH34" s="72">
        <f t="shared" si="6"/>
        <v>1320</v>
      </c>
      <c r="BI34" s="50">
        <f t="shared" si="7"/>
        <v>1.3333333333333333</v>
      </c>
      <c r="BJ34" s="50">
        <f t="shared" si="25"/>
        <v>-0.53926701570680624</v>
      </c>
      <c r="BK34" s="135">
        <f t="shared" si="16"/>
        <v>-0.4</v>
      </c>
      <c r="BM34" s="28">
        <f t="shared" si="17"/>
        <v>30</v>
      </c>
      <c r="BN34" s="53">
        <v>2100</v>
      </c>
      <c r="BO34" s="57">
        <v>2310</v>
      </c>
      <c r="BP34" s="177">
        <v>1350</v>
      </c>
      <c r="BQ34" s="188">
        <v>1485</v>
      </c>
      <c r="BR34" s="177">
        <v>1800</v>
      </c>
      <c r="BS34" s="67">
        <v>1980</v>
      </c>
      <c r="BT34" s="67">
        <v>2598.75</v>
      </c>
      <c r="BU34" s="72">
        <f t="shared" si="8"/>
        <v>825</v>
      </c>
      <c r="BV34" s="50">
        <f t="shared" si="9"/>
        <v>0.55555555555555558</v>
      </c>
      <c r="BW34" s="135">
        <f t="shared" si="27"/>
        <v>-0.25</v>
      </c>
    </row>
    <row r="35" spans="1:75" x14ac:dyDescent="0.3">
      <c r="A35" s="48">
        <v>31</v>
      </c>
      <c r="B35" s="16">
        <f t="shared" si="10"/>
        <v>31</v>
      </c>
      <c r="C35" s="69">
        <v>465</v>
      </c>
      <c r="D35" s="70">
        <v>511.5</v>
      </c>
      <c r="E35" s="65">
        <v>558</v>
      </c>
      <c r="F35" s="66">
        <v>613.79999999999995</v>
      </c>
      <c r="G35" s="177">
        <v>465</v>
      </c>
      <c r="H35" s="71">
        <v>511.5</v>
      </c>
      <c r="I35" s="72">
        <v>1599</v>
      </c>
      <c r="J35" s="72">
        <f t="shared" si="0"/>
        <v>102.29999999999995</v>
      </c>
      <c r="K35" s="50">
        <f t="shared" si="1"/>
        <v>0.1999999999999999</v>
      </c>
      <c r="L35" s="100">
        <f t="shared" si="18"/>
        <v>-1.6050830889540568</v>
      </c>
      <c r="M35" s="134">
        <f t="shared" si="19"/>
        <v>0.1666666666666666</v>
      </c>
      <c r="O35" s="28">
        <f t="shared" si="11"/>
        <v>31</v>
      </c>
      <c r="P35" s="53">
        <v>1085</v>
      </c>
      <c r="Q35" s="57">
        <v>1193.5</v>
      </c>
      <c r="R35" s="177">
        <v>620</v>
      </c>
      <c r="S35" s="188">
        <v>682</v>
      </c>
      <c r="T35" s="177">
        <v>775</v>
      </c>
      <c r="U35" s="67">
        <v>852.5</v>
      </c>
      <c r="V35" s="11">
        <v>1754</v>
      </c>
      <c r="W35" s="72">
        <f t="shared" si="2"/>
        <v>511.5</v>
      </c>
      <c r="X35" s="135">
        <f t="shared" si="20"/>
        <v>-0.25</v>
      </c>
      <c r="Y35" s="94">
        <f t="shared" si="21"/>
        <v>-1.5718475073313782</v>
      </c>
      <c r="AA35" s="28">
        <f t="shared" si="12"/>
        <v>31</v>
      </c>
      <c r="AB35" s="53">
        <v>1240</v>
      </c>
      <c r="AC35" s="57">
        <v>1364</v>
      </c>
      <c r="AD35" s="177">
        <v>775</v>
      </c>
      <c r="AE35" s="188">
        <v>852.5</v>
      </c>
      <c r="AF35" s="177">
        <v>1550</v>
      </c>
      <c r="AG35" s="67">
        <v>1705</v>
      </c>
      <c r="AH35" s="11">
        <v>1754</v>
      </c>
      <c r="AI35" s="72">
        <f t="shared" si="3"/>
        <v>852.5</v>
      </c>
      <c r="AJ35" s="139">
        <f t="shared" si="22"/>
        <v>-0.5</v>
      </c>
      <c r="AK35" s="94">
        <f t="shared" si="23"/>
        <v>-0.51396807297605474</v>
      </c>
      <c r="AM35" s="28">
        <f t="shared" si="13"/>
        <v>31</v>
      </c>
      <c r="AN35" s="53">
        <v>2170</v>
      </c>
      <c r="AO35" s="57">
        <v>2387</v>
      </c>
      <c r="AP35" s="177">
        <v>868</v>
      </c>
      <c r="AQ35" s="188">
        <v>954.8</v>
      </c>
      <c r="AR35" s="177">
        <v>1705</v>
      </c>
      <c r="AS35" s="67">
        <v>1875.5</v>
      </c>
      <c r="AT35" s="11">
        <v>2096.25</v>
      </c>
      <c r="AU35" s="72">
        <f t="shared" si="4"/>
        <v>1432.2</v>
      </c>
      <c r="AV35" s="50">
        <f t="shared" si="5"/>
        <v>1.5000000000000002</v>
      </c>
      <c r="AW35" s="139">
        <f t="shared" si="14"/>
        <v>-0.49090909090909091</v>
      </c>
      <c r="AX35" s="94">
        <f t="shared" si="24"/>
        <v>-0.54451997614788317</v>
      </c>
      <c r="AZ35" s="28">
        <f t="shared" si="15"/>
        <v>31</v>
      </c>
      <c r="BA35" s="53">
        <v>2170</v>
      </c>
      <c r="BB35" s="57">
        <v>2387</v>
      </c>
      <c r="BC35" s="177">
        <v>930</v>
      </c>
      <c r="BD35" s="188">
        <v>1023</v>
      </c>
      <c r="BE35" s="177">
        <v>1550</v>
      </c>
      <c r="BF35" s="67">
        <v>1705</v>
      </c>
      <c r="BG35" s="11">
        <v>2220.25</v>
      </c>
      <c r="BH35" s="72">
        <f t="shared" si="6"/>
        <v>1364</v>
      </c>
      <c r="BI35" s="50">
        <f t="shared" si="7"/>
        <v>1.3333333333333333</v>
      </c>
      <c r="BJ35" s="50">
        <f t="shared" si="25"/>
        <v>-0.53924107645535413</v>
      </c>
      <c r="BK35" s="135">
        <f t="shared" si="16"/>
        <v>-0.4</v>
      </c>
      <c r="BM35" s="28">
        <f t="shared" si="17"/>
        <v>31</v>
      </c>
      <c r="BN35" s="53">
        <v>2170</v>
      </c>
      <c r="BO35" s="57">
        <v>2387</v>
      </c>
      <c r="BP35" s="177">
        <v>1395</v>
      </c>
      <c r="BQ35" s="188">
        <v>1534.5</v>
      </c>
      <c r="BR35" s="177">
        <v>1860</v>
      </c>
      <c r="BS35" s="67">
        <v>2046</v>
      </c>
      <c r="BT35" s="67">
        <v>2685.25</v>
      </c>
      <c r="BU35" s="72">
        <f t="shared" si="8"/>
        <v>852.5</v>
      </c>
      <c r="BV35" s="50">
        <f t="shared" si="9"/>
        <v>0.55555555555555558</v>
      </c>
      <c r="BW35" s="135">
        <f t="shared" si="27"/>
        <v>-0.25</v>
      </c>
    </row>
    <row r="36" spans="1:75" x14ac:dyDescent="0.3">
      <c r="A36" s="48">
        <v>32</v>
      </c>
      <c r="B36" s="16">
        <f t="shared" si="10"/>
        <v>32</v>
      </c>
      <c r="C36" s="69">
        <v>480</v>
      </c>
      <c r="D36" s="70">
        <v>528</v>
      </c>
      <c r="E36" s="65">
        <v>576</v>
      </c>
      <c r="F36" s="66">
        <v>633.6</v>
      </c>
      <c r="G36" s="177">
        <v>480</v>
      </c>
      <c r="H36" s="71">
        <v>528</v>
      </c>
      <c r="I36" s="72">
        <v>1650.5</v>
      </c>
      <c r="J36" s="72">
        <f t="shared" si="0"/>
        <v>105.60000000000002</v>
      </c>
      <c r="K36" s="50">
        <f t="shared" si="1"/>
        <v>0.20000000000000004</v>
      </c>
      <c r="L36" s="100">
        <f t="shared" si="18"/>
        <v>-1.604955808080808</v>
      </c>
      <c r="M36" s="134">
        <f t="shared" si="19"/>
        <v>0.16666666666666669</v>
      </c>
      <c r="O36" s="28">
        <f t="shared" si="11"/>
        <v>32</v>
      </c>
      <c r="P36" s="53">
        <v>1120</v>
      </c>
      <c r="Q36" s="57">
        <v>1232</v>
      </c>
      <c r="R36" s="177">
        <v>640</v>
      </c>
      <c r="S36" s="188">
        <v>704</v>
      </c>
      <c r="T36" s="177">
        <v>800</v>
      </c>
      <c r="U36" s="67">
        <v>880</v>
      </c>
      <c r="V36" s="11">
        <v>1810.5</v>
      </c>
      <c r="W36" s="72">
        <f t="shared" si="2"/>
        <v>528</v>
      </c>
      <c r="X36" s="135">
        <f t="shared" si="20"/>
        <v>-0.25</v>
      </c>
      <c r="Y36" s="94">
        <f t="shared" si="21"/>
        <v>-1.5717329545454546</v>
      </c>
      <c r="AA36" s="28">
        <f t="shared" si="12"/>
        <v>32</v>
      </c>
      <c r="AB36" s="53">
        <v>1280</v>
      </c>
      <c r="AC36" s="57">
        <v>1408</v>
      </c>
      <c r="AD36" s="177">
        <v>800</v>
      </c>
      <c r="AE36" s="188">
        <v>880</v>
      </c>
      <c r="AF36" s="177">
        <v>1600</v>
      </c>
      <c r="AG36" s="67">
        <v>1760</v>
      </c>
      <c r="AH36" s="11">
        <v>1810.5</v>
      </c>
      <c r="AI36" s="72">
        <f t="shared" si="3"/>
        <v>880</v>
      </c>
      <c r="AJ36" s="139">
        <f t="shared" si="22"/>
        <v>-0.5</v>
      </c>
      <c r="AK36" s="94">
        <f t="shared" si="23"/>
        <v>-0.51394642363987852</v>
      </c>
      <c r="AM36" s="28">
        <f t="shared" si="13"/>
        <v>32</v>
      </c>
      <c r="AN36" s="53">
        <v>2240</v>
      </c>
      <c r="AO36" s="57">
        <v>2464</v>
      </c>
      <c r="AP36" s="177">
        <v>896</v>
      </c>
      <c r="AQ36" s="188">
        <v>985.6</v>
      </c>
      <c r="AR36" s="177">
        <v>1760</v>
      </c>
      <c r="AS36" s="67">
        <v>1936</v>
      </c>
      <c r="AT36" s="11">
        <v>2163.75</v>
      </c>
      <c r="AU36" s="72">
        <f t="shared" si="4"/>
        <v>1478.4</v>
      </c>
      <c r="AV36" s="50">
        <f t="shared" si="5"/>
        <v>1.5</v>
      </c>
      <c r="AW36" s="139">
        <f t="shared" si="14"/>
        <v>-0.49090909090909091</v>
      </c>
      <c r="AX36" s="94">
        <f t="shared" si="24"/>
        <v>-0.54449451184286546</v>
      </c>
      <c r="AZ36" s="28">
        <f t="shared" si="15"/>
        <v>32</v>
      </c>
      <c r="BA36" s="53">
        <v>2240</v>
      </c>
      <c r="BB36" s="57">
        <v>2464</v>
      </c>
      <c r="BC36" s="177">
        <v>960</v>
      </c>
      <c r="BD36" s="188">
        <v>1056</v>
      </c>
      <c r="BE36" s="177">
        <v>1600</v>
      </c>
      <c r="BF36" s="67">
        <v>1760</v>
      </c>
      <c r="BG36" s="11">
        <v>2291.75</v>
      </c>
      <c r="BH36" s="72">
        <f t="shared" si="6"/>
        <v>1408</v>
      </c>
      <c r="BI36" s="50">
        <f t="shared" si="7"/>
        <v>1.3333333333333333</v>
      </c>
      <c r="BJ36" s="50">
        <f t="shared" si="25"/>
        <v>-0.53921675575433625</v>
      </c>
      <c r="BK36" s="135">
        <f t="shared" si="16"/>
        <v>-0.4</v>
      </c>
      <c r="BM36" s="28">
        <f t="shared" si="17"/>
        <v>32</v>
      </c>
      <c r="BN36" s="53">
        <v>2240</v>
      </c>
      <c r="BO36" s="57">
        <v>2464</v>
      </c>
      <c r="BP36" s="177">
        <v>1440</v>
      </c>
      <c r="BQ36" s="188">
        <v>1584</v>
      </c>
      <c r="BR36" s="177">
        <v>1920</v>
      </c>
      <c r="BS36" s="67">
        <v>2112</v>
      </c>
      <c r="BT36" s="67">
        <v>2771.75</v>
      </c>
      <c r="BU36" s="72">
        <f t="shared" si="8"/>
        <v>880</v>
      </c>
      <c r="BV36" s="50">
        <f t="shared" si="9"/>
        <v>0.55555555555555558</v>
      </c>
      <c r="BW36" s="135">
        <f t="shared" si="27"/>
        <v>-0.25</v>
      </c>
    </row>
    <row r="37" spans="1:75" x14ac:dyDescent="0.3">
      <c r="A37" s="48">
        <v>33</v>
      </c>
      <c r="B37" s="16">
        <f t="shared" si="10"/>
        <v>33</v>
      </c>
      <c r="C37" s="69">
        <v>495</v>
      </c>
      <c r="D37" s="70">
        <v>544.5</v>
      </c>
      <c r="E37" s="65">
        <v>594</v>
      </c>
      <c r="F37" s="66">
        <v>653.4</v>
      </c>
      <c r="G37" s="177">
        <v>495</v>
      </c>
      <c r="H37" s="71">
        <v>544.5</v>
      </c>
      <c r="I37" s="72">
        <v>1702</v>
      </c>
      <c r="J37" s="72">
        <f t="shared" ref="J37:J54" si="28">MAX(D37, F37, H37) - MIN(D37, F37, H37)</f>
        <v>108.89999999999998</v>
      </c>
      <c r="K37" s="50">
        <f t="shared" ref="K37:K54" si="29">J37/MIN(D37, F37, H37)</f>
        <v>0.19999999999999996</v>
      </c>
      <c r="L37" s="100">
        <f t="shared" si="18"/>
        <v>-1.6048362411998776</v>
      </c>
      <c r="M37" s="134">
        <f t="shared" si="19"/>
        <v>0.16666666666666663</v>
      </c>
      <c r="O37" s="28">
        <f t="shared" si="11"/>
        <v>33</v>
      </c>
      <c r="P37" s="53">
        <v>1155</v>
      </c>
      <c r="Q37" s="57">
        <v>1270.5</v>
      </c>
      <c r="R37" s="177">
        <v>660</v>
      </c>
      <c r="S37" s="188">
        <v>726</v>
      </c>
      <c r="T37" s="177">
        <v>825</v>
      </c>
      <c r="U37" s="67">
        <v>907.5</v>
      </c>
      <c r="V37" s="11">
        <v>1867</v>
      </c>
      <c r="W37" s="72">
        <f t="shared" si="2"/>
        <v>544.5</v>
      </c>
      <c r="X37" s="135">
        <f t="shared" si="20"/>
        <v>-0.25</v>
      </c>
      <c r="Y37" s="94">
        <f t="shared" si="21"/>
        <v>-1.5716253443526171</v>
      </c>
      <c r="AA37" s="28">
        <f t="shared" si="12"/>
        <v>33</v>
      </c>
      <c r="AB37" s="53">
        <v>1320</v>
      </c>
      <c r="AC37" s="57">
        <v>1452</v>
      </c>
      <c r="AD37" s="177">
        <v>825</v>
      </c>
      <c r="AE37" s="188">
        <v>907.5</v>
      </c>
      <c r="AF37" s="177">
        <v>1650</v>
      </c>
      <c r="AG37" s="67">
        <v>1815</v>
      </c>
      <c r="AH37" s="11">
        <v>1867</v>
      </c>
      <c r="AI37" s="72">
        <f t="shared" si="3"/>
        <v>907.5</v>
      </c>
      <c r="AJ37" s="139">
        <f t="shared" si="22"/>
        <v>-0.5</v>
      </c>
      <c r="AK37" s="94">
        <f t="shared" si="23"/>
        <v>-0.51392608462774503</v>
      </c>
      <c r="AM37" s="28">
        <f t="shared" si="13"/>
        <v>33</v>
      </c>
      <c r="AN37" s="53">
        <v>2310</v>
      </c>
      <c r="AO37" s="57">
        <v>2541</v>
      </c>
      <c r="AP37" s="177">
        <v>924</v>
      </c>
      <c r="AQ37" s="188">
        <v>1016.4</v>
      </c>
      <c r="AR37" s="177">
        <v>1815</v>
      </c>
      <c r="AS37" s="67">
        <v>1996.5</v>
      </c>
      <c r="AT37" s="11">
        <v>2231.25</v>
      </c>
      <c r="AU37" s="72">
        <f t="shared" si="4"/>
        <v>1524.6</v>
      </c>
      <c r="AV37" s="50">
        <f t="shared" si="5"/>
        <v>1.5</v>
      </c>
      <c r="AW37" s="139">
        <f t="shared" si="14"/>
        <v>-0.49090909090909091</v>
      </c>
      <c r="AX37" s="94">
        <f t="shared" si="24"/>
        <v>-0.54447058823529404</v>
      </c>
      <c r="AZ37" s="28">
        <f t="shared" si="15"/>
        <v>33</v>
      </c>
      <c r="BA37" s="53">
        <v>2310</v>
      </c>
      <c r="BB37" s="57">
        <v>2541</v>
      </c>
      <c r="BC37" s="177">
        <v>990</v>
      </c>
      <c r="BD37" s="188">
        <v>1089</v>
      </c>
      <c r="BE37" s="177">
        <v>1650</v>
      </c>
      <c r="BF37" s="67">
        <v>1815</v>
      </c>
      <c r="BG37" s="11">
        <v>2363.25</v>
      </c>
      <c r="BH37" s="72">
        <f t="shared" si="6"/>
        <v>1452</v>
      </c>
      <c r="BI37" s="50">
        <f t="shared" si="7"/>
        <v>1.3333333333333333</v>
      </c>
      <c r="BJ37" s="50">
        <f t="shared" si="25"/>
        <v>-0.53919390669628686</v>
      </c>
      <c r="BK37" s="135">
        <f t="shared" si="16"/>
        <v>-0.4</v>
      </c>
      <c r="BM37" s="28">
        <f t="shared" si="17"/>
        <v>33</v>
      </c>
      <c r="BN37" s="53">
        <v>2310</v>
      </c>
      <c r="BO37" s="57">
        <v>2541</v>
      </c>
      <c r="BP37" s="177">
        <v>1485</v>
      </c>
      <c r="BQ37" s="188">
        <v>1633.5</v>
      </c>
      <c r="BR37" s="177">
        <v>1980</v>
      </c>
      <c r="BS37" s="67">
        <v>2178</v>
      </c>
      <c r="BT37" s="67">
        <v>2858.25</v>
      </c>
      <c r="BU37" s="72">
        <f t="shared" si="8"/>
        <v>907.5</v>
      </c>
      <c r="BV37" s="50">
        <f t="shared" si="9"/>
        <v>0.55555555555555558</v>
      </c>
      <c r="BW37" s="135">
        <f t="shared" si="27"/>
        <v>-0.25</v>
      </c>
    </row>
    <row r="38" spans="1:75" x14ac:dyDescent="0.3">
      <c r="A38" s="48">
        <v>34</v>
      </c>
      <c r="B38" s="16">
        <f t="shared" si="10"/>
        <v>34</v>
      </c>
      <c r="C38" s="69">
        <v>510</v>
      </c>
      <c r="D38" s="70">
        <v>561</v>
      </c>
      <c r="E38" s="65">
        <v>612</v>
      </c>
      <c r="F38" s="66">
        <v>673.2</v>
      </c>
      <c r="G38" s="177">
        <v>510</v>
      </c>
      <c r="H38" s="71">
        <v>561</v>
      </c>
      <c r="I38" s="72">
        <v>1753.5</v>
      </c>
      <c r="J38" s="72">
        <f t="shared" si="28"/>
        <v>112.20000000000005</v>
      </c>
      <c r="K38" s="50">
        <f t="shared" si="29"/>
        <v>0.20000000000000009</v>
      </c>
      <c r="L38" s="100">
        <f t="shared" si="18"/>
        <v>-1.6047237076648839</v>
      </c>
      <c r="M38" s="134">
        <f t="shared" si="19"/>
        <v>0.16666666666666671</v>
      </c>
      <c r="O38" s="28">
        <f t="shared" si="11"/>
        <v>34</v>
      </c>
      <c r="P38" s="53">
        <v>1190</v>
      </c>
      <c r="Q38" s="57">
        <v>1309</v>
      </c>
      <c r="R38" s="177">
        <v>680</v>
      </c>
      <c r="S38" s="188">
        <v>748</v>
      </c>
      <c r="T38" s="177">
        <v>850</v>
      </c>
      <c r="U38" s="67">
        <v>935</v>
      </c>
      <c r="V38" s="11">
        <v>1923.5</v>
      </c>
      <c r="W38" s="72">
        <f t="shared" si="2"/>
        <v>561</v>
      </c>
      <c r="X38" s="135">
        <f t="shared" si="20"/>
        <v>-0.25</v>
      </c>
      <c r="Y38" s="94">
        <f t="shared" si="21"/>
        <v>-1.571524064171123</v>
      </c>
      <c r="AA38" s="28">
        <f t="shared" si="12"/>
        <v>34</v>
      </c>
      <c r="AB38" s="53">
        <v>1360</v>
      </c>
      <c r="AC38" s="57">
        <v>1496</v>
      </c>
      <c r="AD38" s="177">
        <v>850</v>
      </c>
      <c r="AE38" s="188">
        <v>935</v>
      </c>
      <c r="AF38" s="177">
        <v>1700</v>
      </c>
      <c r="AG38" s="67">
        <v>1870</v>
      </c>
      <c r="AH38" s="11">
        <v>1923.5</v>
      </c>
      <c r="AI38" s="72">
        <f t="shared" si="3"/>
        <v>935</v>
      </c>
      <c r="AJ38" s="139">
        <f t="shared" si="22"/>
        <v>-0.5</v>
      </c>
      <c r="AK38" s="94">
        <f t="shared" si="23"/>
        <v>-0.51390694047309593</v>
      </c>
      <c r="AM38" s="28">
        <f t="shared" si="13"/>
        <v>34</v>
      </c>
      <c r="AN38" s="53">
        <v>2380</v>
      </c>
      <c r="AO38" s="57">
        <v>2618</v>
      </c>
      <c r="AP38" s="177">
        <v>952</v>
      </c>
      <c r="AQ38" s="188">
        <v>1047.2</v>
      </c>
      <c r="AR38" s="177">
        <v>1870</v>
      </c>
      <c r="AS38" s="67">
        <v>2057</v>
      </c>
      <c r="AT38" s="11">
        <v>2298.75</v>
      </c>
      <c r="AU38" s="72">
        <f t="shared" si="4"/>
        <v>1570.8</v>
      </c>
      <c r="AV38" s="50">
        <f t="shared" si="5"/>
        <v>1.5</v>
      </c>
      <c r="AW38" s="139">
        <f t="shared" si="14"/>
        <v>-0.49090909090909091</v>
      </c>
      <c r="AX38" s="94">
        <f t="shared" si="24"/>
        <v>-0.54444806960304515</v>
      </c>
      <c r="AZ38" s="28">
        <f t="shared" si="15"/>
        <v>34</v>
      </c>
      <c r="BA38" s="53">
        <v>2380</v>
      </c>
      <c r="BB38" s="57">
        <v>2618</v>
      </c>
      <c r="BC38" s="177">
        <v>1020</v>
      </c>
      <c r="BD38" s="188">
        <v>1122</v>
      </c>
      <c r="BE38" s="177">
        <v>1700</v>
      </c>
      <c r="BF38" s="67">
        <v>1870</v>
      </c>
      <c r="BG38" s="11">
        <v>2434.75</v>
      </c>
      <c r="BH38" s="72">
        <f t="shared" si="6"/>
        <v>1496</v>
      </c>
      <c r="BI38" s="50">
        <f t="shared" si="7"/>
        <v>1.3333333333333333</v>
      </c>
      <c r="BJ38" s="50">
        <f t="shared" si="25"/>
        <v>-0.53917239963035224</v>
      </c>
      <c r="BK38" s="135">
        <f t="shared" si="16"/>
        <v>-0.4</v>
      </c>
      <c r="BM38" s="28">
        <f t="shared" si="17"/>
        <v>34</v>
      </c>
      <c r="BN38" s="53">
        <v>2380</v>
      </c>
      <c r="BO38" s="57">
        <v>2618</v>
      </c>
      <c r="BP38" s="177">
        <v>1530</v>
      </c>
      <c r="BQ38" s="188">
        <v>1683</v>
      </c>
      <c r="BR38" s="177">
        <v>2040</v>
      </c>
      <c r="BS38" s="67">
        <v>2244</v>
      </c>
      <c r="BT38" s="67">
        <v>2944.75</v>
      </c>
      <c r="BU38" s="72">
        <f t="shared" si="8"/>
        <v>935</v>
      </c>
      <c r="BV38" s="50">
        <f t="shared" si="9"/>
        <v>0.55555555555555558</v>
      </c>
      <c r="BW38" s="135">
        <f t="shared" si="27"/>
        <v>-0.25</v>
      </c>
    </row>
    <row r="39" spans="1:75" x14ac:dyDescent="0.3">
      <c r="A39" s="48">
        <v>35</v>
      </c>
      <c r="B39" s="16">
        <f t="shared" si="10"/>
        <v>35</v>
      </c>
      <c r="C39" s="69">
        <v>525</v>
      </c>
      <c r="D39" s="70">
        <v>577.5</v>
      </c>
      <c r="E39" s="65">
        <v>630</v>
      </c>
      <c r="F39" s="66">
        <v>693</v>
      </c>
      <c r="G39" s="177">
        <v>525</v>
      </c>
      <c r="H39" s="71">
        <v>577.5</v>
      </c>
      <c r="I39" s="72">
        <v>1805</v>
      </c>
      <c r="J39" s="72">
        <f t="shared" si="28"/>
        <v>115.5</v>
      </c>
      <c r="K39" s="50">
        <f t="shared" si="29"/>
        <v>0.2</v>
      </c>
      <c r="L39" s="100">
        <f t="shared" si="18"/>
        <v>-1.6046176046176046</v>
      </c>
      <c r="M39" s="134">
        <f t="shared" si="19"/>
        <v>0.16666666666666666</v>
      </c>
      <c r="O39" s="28">
        <f t="shared" si="11"/>
        <v>35</v>
      </c>
      <c r="P39" s="53">
        <v>1225</v>
      </c>
      <c r="Q39" s="57">
        <v>1347.5</v>
      </c>
      <c r="R39" s="177">
        <v>700</v>
      </c>
      <c r="S39" s="188">
        <v>770</v>
      </c>
      <c r="T39" s="177">
        <v>875</v>
      </c>
      <c r="U39" s="67">
        <v>962.5</v>
      </c>
      <c r="V39" s="11">
        <v>1980</v>
      </c>
      <c r="W39" s="72">
        <f t="shared" si="2"/>
        <v>577.5</v>
      </c>
      <c r="X39" s="135">
        <f t="shared" si="20"/>
        <v>-0.25</v>
      </c>
      <c r="Y39" s="94">
        <f t="shared" si="21"/>
        <v>-1.5714285714285714</v>
      </c>
      <c r="AA39" s="28">
        <f t="shared" si="12"/>
        <v>35</v>
      </c>
      <c r="AB39" s="53">
        <v>1400</v>
      </c>
      <c r="AC39" s="57">
        <v>1540</v>
      </c>
      <c r="AD39" s="177">
        <v>875</v>
      </c>
      <c r="AE39" s="188">
        <v>962.5</v>
      </c>
      <c r="AF39" s="177">
        <v>1750</v>
      </c>
      <c r="AG39" s="67">
        <v>1925</v>
      </c>
      <c r="AH39" s="11">
        <v>1980</v>
      </c>
      <c r="AI39" s="72">
        <f t="shared" si="3"/>
        <v>962.5</v>
      </c>
      <c r="AJ39" s="139">
        <f t="shared" si="22"/>
        <v>-0.5</v>
      </c>
      <c r="AK39" s="94">
        <f t="shared" si="23"/>
        <v>-0.51388888888888884</v>
      </c>
      <c r="AM39" s="28">
        <f t="shared" si="13"/>
        <v>35</v>
      </c>
      <c r="AN39" s="53">
        <v>2450</v>
      </c>
      <c r="AO39" s="57">
        <v>2695</v>
      </c>
      <c r="AP39" s="177">
        <v>980</v>
      </c>
      <c r="AQ39" s="188">
        <v>1078</v>
      </c>
      <c r="AR39" s="177">
        <v>1925</v>
      </c>
      <c r="AS39" s="67">
        <v>2117.5</v>
      </c>
      <c r="AT39" s="11">
        <v>2366.25</v>
      </c>
      <c r="AU39" s="72">
        <f t="shared" si="4"/>
        <v>1617</v>
      </c>
      <c r="AV39" s="50">
        <f t="shared" si="5"/>
        <v>1.5</v>
      </c>
      <c r="AW39" s="139">
        <f t="shared" si="14"/>
        <v>-0.49090909090909091</v>
      </c>
      <c r="AX39" s="94">
        <f t="shared" si="24"/>
        <v>-0.54442683571051242</v>
      </c>
      <c r="AZ39" s="28">
        <f t="shared" si="15"/>
        <v>35</v>
      </c>
      <c r="BA39" s="53">
        <v>2450</v>
      </c>
      <c r="BB39" s="57">
        <v>2695</v>
      </c>
      <c r="BC39" s="177">
        <v>1050</v>
      </c>
      <c r="BD39" s="188">
        <v>1155</v>
      </c>
      <c r="BE39" s="177">
        <v>1750</v>
      </c>
      <c r="BF39" s="67">
        <v>1925</v>
      </c>
      <c r="BG39" s="11">
        <v>2506.25</v>
      </c>
      <c r="BH39" s="72">
        <f t="shared" si="6"/>
        <v>1540</v>
      </c>
      <c r="BI39" s="50">
        <f t="shared" si="7"/>
        <v>1.3333333333333333</v>
      </c>
      <c r="BJ39" s="50">
        <f t="shared" si="25"/>
        <v>-0.53915211970074817</v>
      </c>
      <c r="BK39" s="135">
        <f t="shared" si="16"/>
        <v>-0.4</v>
      </c>
      <c r="BM39" s="28">
        <f t="shared" si="17"/>
        <v>35</v>
      </c>
      <c r="BN39" s="53">
        <v>2450</v>
      </c>
      <c r="BO39" s="57">
        <v>2695</v>
      </c>
      <c r="BP39" s="177">
        <v>1575</v>
      </c>
      <c r="BQ39" s="188">
        <v>1732.5</v>
      </c>
      <c r="BR39" s="177">
        <v>2100</v>
      </c>
      <c r="BS39" s="67">
        <v>2310</v>
      </c>
      <c r="BT39" s="67">
        <v>3031.25</v>
      </c>
      <c r="BU39" s="72">
        <f t="shared" si="8"/>
        <v>962.5</v>
      </c>
      <c r="BV39" s="50">
        <f t="shared" si="9"/>
        <v>0.55555555555555558</v>
      </c>
      <c r="BW39" s="135">
        <f t="shared" si="27"/>
        <v>-0.25</v>
      </c>
    </row>
    <row r="40" spans="1:75" x14ac:dyDescent="0.3">
      <c r="A40" s="48">
        <v>36</v>
      </c>
      <c r="B40" s="16">
        <f t="shared" si="10"/>
        <v>36</v>
      </c>
      <c r="C40" s="69">
        <v>540</v>
      </c>
      <c r="D40" s="70">
        <v>594</v>
      </c>
      <c r="E40" s="65">
        <v>648</v>
      </c>
      <c r="F40" s="66">
        <v>712.8</v>
      </c>
      <c r="G40" s="177">
        <v>540</v>
      </c>
      <c r="H40" s="71">
        <v>594</v>
      </c>
      <c r="I40" s="72">
        <v>1856.5</v>
      </c>
      <c r="J40" s="72">
        <f t="shared" si="28"/>
        <v>118.79999999999995</v>
      </c>
      <c r="K40" s="50">
        <f t="shared" si="29"/>
        <v>0.19999999999999993</v>
      </c>
      <c r="L40" s="100">
        <f t="shared" si="18"/>
        <v>-1.6045173961840631</v>
      </c>
      <c r="M40" s="134">
        <f t="shared" si="19"/>
        <v>0.1666666666666666</v>
      </c>
      <c r="O40" s="28">
        <f t="shared" si="11"/>
        <v>36</v>
      </c>
      <c r="P40" s="53">
        <v>1260</v>
      </c>
      <c r="Q40" s="57">
        <v>1386</v>
      </c>
      <c r="R40" s="177">
        <v>720</v>
      </c>
      <c r="S40" s="188">
        <v>792</v>
      </c>
      <c r="T40" s="177">
        <v>900</v>
      </c>
      <c r="U40" s="67">
        <v>990</v>
      </c>
      <c r="V40" s="11">
        <v>2036.5</v>
      </c>
      <c r="W40" s="72">
        <f t="shared" si="2"/>
        <v>594</v>
      </c>
      <c r="X40" s="135">
        <f t="shared" si="20"/>
        <v>-0.25</v>
      </c>
      <c r="Y40" s="94">
        <f t="shared" si="21"/>
        <v>-1.5713383838383839</v>
      </c>
      <c r="AA40" s="28">
        <f t="shared" si="12"/>
        <v>36</v>
      </c>
      <c r="AB40" s="53">
        <v>1440</v>
      </c>
      <c r="AC40" s="57">
        <v>1584</v>
      </c>
      <c r="AD40" s="177">
        <v>900</v>
      </c>
      <c r="AE40" s="188">
        <v>990</v>
      </c>
      <c r="AF40" s="177">
        <v>1800</v>
      </c>
      <c r="AG40" s="67">
        <v>1980</v>
      </c>
      <c r="AH40" s="11">
        <v>2036.5</v>
      </c>
      <c r="AI40" s="72">
        <f t="shared" si="3"/>
        <v>990</v>
      </c>
      <c r="AJ40" s="139">
        <f t="shared" si="22"/>
        <v>-0.5</v>
      </c>
      <c r="AK40" s="94">
        <f t="shared" si="23"/>
        <v>-0.51387183893935673</v>
      </c>
      <c r="AM40" s="28">
        <f t="shared" si="13"/>
        <v>36</v>
      </c>
      <c r="AN40" s="53">
        <v>2520</v>
      </c>
      <c r="AO40" s="57">
        <v>2772</v>
      </c>
      <c r="AP40" s="177">
        <v>1008</v>
      </c>
      <c r="AQ40" s="188">
        <v>1108.8</v>
      </c>
      <c r="AR40" s="177">
        <v>1980</v>
      </c>
      <c r="AS40" s="67">
        <v>2178</v>
      </c>
      <c r="AT40" s="11">
        <v>2433.75</v>
      </c>
      <c r="AU40" s="72">
        <f t="shared" si="4"/>
        <v>1663.2</v>
      </c>
      <c r="AV40" s="50">
        <f t="shared" si="5"/>
        <v>1.5</v>
      </c>
      <c r="AW40" s="139">
        <f t="shared" si="14"/>
        <v>-0.49090909090909091</v>
      </c>
      <c r="AX40" s="94">
        <f t="shared" si="24"/>
        <v>-0.54440677966101692</v>
      </c>
      <c r="AZ40" s="28">
        <f t="shared" si="15"/>
        <v>36</v>
      </c>
      <c r="BA40" s="53">
        <v>2520</v>
      </c>
      <c r="BB40" s="57">
        <v>2772</v>
      </c>
      <c r="BC40" s="177">
        <v>1080</v>
      </c>
      <c r="BD40" s="188">
        <v>1188</v>
      </c>
      <c r="BE40" s="177">
        <v>1800</v>
      </c>
      <c r="BF40" s="67">
        <v>1980</v>
      </c>
      <c r="BG40" s="11">
        <v>2577.75</v>
      </c>
      <c r="BH40" s="72">
        <f t="shared" si="6"/>
        <v>1584</v>
      </c>
      <c r="BI40" s="50">
        <f t="shared" si="7"/>
        <v>1.3333333333333333</v>
      </c>
      <c r="BJ40" s="50">
        <f t="shared" si="25"/>
        <v>-0.53913296479487927</v>
      </c>
      <c r="BK40" s="135">
        <f t="shared" si="16"/>
        <v>-0.4</v>
      </c>
      <c r="BM40" s="28">
        <f t="shared" si="17"/>
        <v>36</v>
      </c>
      <c r="BN40" s="53">
        <v>2520</v>
      </c>
      <c r="BO40" s="57">
        <v>2772</v>
      </c>
      <c r="BP40" s="177">
        <v>1620</v>
      </c>
      <c r="BQ40" s="188">
        <v>1782</v>
      </c>
      <c r="BR40" s="177">
        <v>2160</v>
      </c>
      <c r="BS40" s="67">
        <v>2376</v>
      </c>
      <c r="BT40" s="67">
        <v>3117.75</v>
      </c>
      <c r="BU40" s="72">
        <f t="shared" si="8"/>
        <v>990</v>
      </c>
      <c r="BV40" s="50">
        <f t="shared" si="9"/>
        <v>0.55555555555555558</v>
      </c>
      <c r="BW40" s="135">
        <f t="shared" si="27"/>
        <v>-0.25</v>
      </c>
    </row>
    <row r="41" spans="1:75" x14ac:dyDescent="0.3">
      <c r="A41" s="48">
        <v>37</v>
      </c>
      <c r="B41" s="16">
        <f t="shared" si="10"/>
        <v>37</v>
      </c>
      <c r="C41" s="69">
        <v>555</v>
      </c>
      <c r="D41" s="70">
        <v>610.5</v>
      </c>
      <c r="E41" s="65">
        <v>666</v>
      </c>
      <c r="F41" s="66">
        <v>732.6</v>
      </c>
      <c r="G41" s="177">
        <v>555</v>
      </c>
      <c r="H41" s="71">
        <v>610.5</v>
      </c>
      <c r="I41" s="72">
        <v>1908</v>
      </c>
      <c r="J41" s="72">
        <f t="shared" si="28"/>
        <v>122.10000000000002</v>
      </c>
      <c r="K41" s="50">
        <f t="shared" si="29"/>
        <v>0.20000000000000004</v>
      </c>
      <c r="L41" s="100">
        <f t="shared" si="18"/>
        <v>-1.6044226044226044</v>
      </c>
      <c r="M41" s="134">
        <f t="shared" si="19"/>
        <v>0.16666666666666669</v>
      </c>
      <c r="O41" s="28">
        <f t="shared" si="11"/>
        <v>37</v>
      </c>
      <c r="P41" s="53">
        <v>1295</v>
      </c>
      <c r="Q41" s="57">
        <v>1424.5</v>
      </c>
      <c r="R41" s="177">
        <v>740</v>
      </c>
      <c r="S41" s="188">
        <v>814</v>
      </c>
      <c r="T41" s="177">
        <v>925</v>
      </c>
      <c r="U41" s="67">
        <v>1017.5</v>
      </c>
      <c r="V41" s="11">
        <v>2093</v>
      </c>
      <c r="W41" s="72">
        <f t="shared" si="2"/>
        <v>610.5</v>
      </c>
      <c r="X41" s="135">
        <f t="shared" si="20"/>
        <v>-0.25</v>
      </c>
      <c r="Y41" s="94">
        <f t="shared" si="21"/>
        <v>-1.5712530712530712</v>
      </c>
      <c r="AA41" s="28">
        <f t="shared" si="12"/>
        <v>37</v>
      </c>
      <c r="AB41" s="53">
        <v>1480</v>
      </c>
      <c r="AC41" s="57">
        <v>1628</v>
      </c>
      <c r="AD41" s="177">
        <v>925</v>
      </c>
      <c r="AE41" s="188">
        <v>1017.5</v>
      </c>
      <c r="AF41" s="177">
        <v>1850</v>
      </c>
      <c r="AG41" s="67">
        <v>2035</v>
      </c>
      <c r="AH41" s="11">
        <v>2093</v>
      </c>
      <c r="AI41" s="72">
        <f t="shared" si="3"/>
        <v>1017.5</v>
      </c>
      <c r="AJ41" s="139">
        <f t="shared" si="22"/>
        <v>-0.5</v>
      </c>
      <c r="AK41" s="94">
        <f t="shared" si="23"/>
        <v>-0.5138557095078834</v>
      </c>
      <c r="AM41" s="28">
        <f t="shared" si="13"/>
        <v>37</v>
      </c>
      <c r="AN41" s="53">
        <v>2590</v>
      </c>
      <c r="AO41" s="57">
        <v>2849</v>
      </c>
      <c r="AP41" s="177">
        <v>1036</v>
      </c>
      <c r="AQ41" s="188">
        <v>1139.5999999999999</v>
      </c>
      <c r="AR41" s="177">
        <v>2035</v>
      </c>
      <c r="AS41" s="67">
        <v>2238.5</v>
      </c>
      <c r="AT41" s="11">
        <v>2501.25</v>
      </c>
      <c r="AU41" s="72">
        <f t="shared" si="4"/>
        <v>1709.4</v>
      </c>
      <c r="AV41" s="50">
        <f t="shared" si="5"/>
        <v>1.5000000000000002</v>
      </c>
      <c r="AW41" s="139">
        <f t="shared" si="14"/>
        <v>-0.49090909090909091</v>
      </c>
      <c r="AX41" s="94">
        <f t="shared" si="24"/>
        <v>-0.54438780609695159</v>
      </c>
      <c r="AZ41" s="28">
        <f t="shared" si="15"/>
        <v>37</v>
      </c>
      <c r="BA41" s="53">
        <v>2590</v>
      </c>
      <c r="BB41" s="57">
        <v>2849</v>
      </c>
      <c r="BC41" s="177">
        <v>1110</v>
      </c>
      <c r="BD41" s="188">
        <v>1221</v>
      </c>
      <c r="BE41" s="177">
        <v>1850</v>
      </c>
      <c r="BF41" s="67">
        <v>2035</v>
      </c>
      <c r="BG41" s="11">
        <v>2649.25</v>
      </c>
      <c r="BH41" s="72">
        <f t="shared" si="6"/>
        <v>1628</v>
      </c>
      <c r="BI41" s="50">
        <f t="shared" si="7"/>
        <v>1.3333333333333333</v>
      </c>
      <c r="BJ41" s="50">
        <f t="shared" si="25"/>
        <v>-0.53911484382372366</v>
      </c>
      <c r="BK41" s="135">
        <f t="shared" si="16"/>
        <v>-0.4</v>
      </c>
      <c r="BM41" s="28">
        <f t="shared" si="17"/>
        <v>37</v>
      </c>
      <c r="BN41" s="53">
        <v>2590</v>
      </c>
      <c r="BO41" s="57">
        <v>2849</v>
      </c>
      <c r="BP41" s="177">
        <v>1665</v>
      </c>
      <c r="BQ41" s="188">
        <v>1831.5</v>
      </c>
      <c r="BR41" s="177">
        <v>2220</v>
      </c>
      <c r="BS41" s="67">
        <v>2442</v>
      </c>
      <c r="BT41" s="67">
        <v>3204.25</v>
      </c>
      <c r="BU41" s="72">
        <f t="shared" si="8"/>
        <v>1017.5</v>
      </c>
      <c r="BV41" s="50">
        <f t="shared" si="9"/>
        <v>0.55555555555555558</v>
      </c>
      <c r="BW41" s="135">
        <f t="shared" si="27"/>
        <v>-0.25</v>
      </c>
    </row>
    <row r="42" spans="1:75" x14ac:dyDescent="0.3">
      <c r="A42" s="48">
        <v>38</v>
      </c>
      <c r="B42" s="16">
        <f t="shared" si="10"/>
        <v>38</v>
      </c>
      <c r="C42" s="69">
        <v>570</v>
      </c>
      <c r="D42" s="70">
        <v>627</v>
      </c>
      <c r="E42" s="65">
        <v>684</v>
      </c>
      <c r="F42" s="66">
        <v>752.4</v>
      </c>
      <c r="G42" s="177">
        <v>570</v>
      </c>
      <c r="H42" s="71">
        <v>627</v>
      </c>
      <c r="I42" s="72">
        <v>1959.5</v>
      </c>
      <c r="J42" s="72">
        <f t="shared" si="28"/>
        <v>125.39999999999998</v>
      </c>
      <c r="K42" s="50">
        <f t="shared" si="29"/>
        <v>0.19999999999999996</v>
      </c>
      <c r="L42" s="100">
        <f t="shared" si="18"/>
        <v>-1.6043328017012226</v>
      </c>
      <c r="M42" s="134">
        <f t="shared" si="19"/>
        <v>0.16666666666666663</v>
      </c>
      <c r="O42" s="28">
        <f t="shared" si="11"/>
        <v>38</v>
      </c>
      <c r="P42" s="53">
        <v>1330</v>
      </c>
      <c r="Q42" s="57">
        <v>1463</v>
      </c>
      <c r="R42" s="177">
        <v>760</v>
      </c>
      <c r="S42" s="188">
        <v>836</v>
      </c>
      <c r="T42" s="177">
        <v>950</v>
      </c>
      <c r="U42" s="67">
        <v>1045</v>
      </c>
      <c r="V42" s="11">
        <v>2149.5</v>
      </c>
      <c r="W42" s="72">
        <f t="shared" si="2"/>
        <v>627</v>
      </c>
      <c r="X42" s="135">
        <f t="shared" si="20"/>
        <v>-0.25</v>
      </c>
      <c r="Y42" s="94">
        <f t="shared" si="21"/>
        <v>-1.5711722488038278</v>
      </c>
      <c r="AA42" s="28">
        <f t="shared" si="12"/>
        <v>38</v>
      </c>
      <c r="AB42" s="53">
        <v>1520</v>
      </c>
      <c r="AC42" s="57">
        <v>1672</v>
      </c>
      <c r="AD42" s="177">
        <v>950</v>
      </c>
      <c r="AE42" s="188">
        <v>1045</v>
      </c>
      <c r="AF42" s="177">
        <v>1900</v>
      </c>
      <c r="AG42" s="67">
        <v>2090</v>
      </c>
      <c r="AH42" s="11">
        <v>2149.5</v>
      </c>
      <c r="AI42" s="72">
        <f t="shared" si="3"/>
        <v>1045</v>
      </c>
      <c r="AJ42" s="139">
        <f t="shared" si="22"/>
        <v>-0.5</v>
      </c>
      <c r="AK42" s="94">
        <f t="shared" si="23"/>
        <v>-0.51384042800651319</v>
      </c>
      <c r="AM42" s="28">
        <f t="shared" si="13"/>
        <v>38</v>
      </c>
      <c r="AN42" s="53">
        <v>2660</v>
      </c>
      <c r="AO42" s="57">
        <v>2926</v>
      </c>
      <c r="AP42" s="177">
        <v>1064</v>
      </c>
      <c r="AQ42" s="188">
        <v>1170.4000000000001</v>
      </c>
      <c r="AR42" s="177">
        <v>2090</v>
      </c>
      <c r="AS42" s="67">
        <v>2299</v>
      </c>
      <c r="AT42" s="11">
        <v>2568.75</v>
      </c>
      <c r="AU42" s="72">
        <f t="shared" si="4"/>
        <v>1755.6</v>
      </c>
      <c r="AV42" s="50">
        <f t="shared" si="5"/>
        <v>1.4999999999999998</v>
      </c>
      <c r="AW42" s="139">
        <f t="shared" si="14"/>
        <v>-0.49090909090909091</v>
      </c>
      <c r="AX42" s="94">
        <f t="shared" si="24"/>
        <v>-0.54436982968369829</v>
      </c>
      <c r="AZ42" s="28">
        <f t="shared" si="15"/>
        <v>38</v>
      </c>
      <c r="BA42" s="53">
        <v>2660</v>
      </c>
      <c r="BB42" s="57">
        <v>2926</v>
      </c>
      <c r="BC42" s="177">
        <v>1140</v>
      </c>
      <c r="BD42" s="188">
        <v>1254</v>
      </c>
      <c r="BE42" s="177">
        <v>1900</v>
      </c>
      <c r="BF42" s="67">
        <v>2090</v>
      </c>
      <c r="BG42" s="11">
        <v>2720.75</v>
      </c>
      <c r="BH42" s="72">
        <f t="shared" si="6"/>
        <v>1672</v>
      </c>
      <c r="BI42" s="50">
        <f t="shared" si="7"/>
        <v>1.3333333333333333</v>
      </c>
      <c r="BJ42" s="50">
        <f t="shared" si="25"/>
        <v>-0.53909767527336216</v>
      </c>
      <c r="BK42" s="135">
        <f t="shared" si="16"/>
        <v>-0.4</v>
      </c>
      <c r="BM42" s="28">
        <f t="shared" si="17"/>
        <v>38</v>
      </c>
      <c r="BN42" s="53">
        <v>2660</v>
      </c>
      <c r="BO42" s="57">
        <v>2926</v>
      </c>
      <c r="BP42" s="177">
        <v>1710</v>
      </c>
      <c r="BQ42" s="188">
        <v>1881</v>
      </c>
      <c r="BR42" s="177">
        <v>2280</v>
      </c>
      <c r="BS42" s="67">
        <v>2508</v>
      </c>
      <c r="BT42" s="67">
        <v>3290.75</v>
      </c>
      <c r="BU42" s="72">
        <f t="shared" si="8"/>
        <v>1045</v>
      </c>
      <c r="BV42" s="50">
        <f t="shared" si="9"/>
        <v>0.55555555555555558</v>
      </c>
      <c r="BW42" s="135">
        <f t="shared" si="27"/>
        <v>-0.25</v>
      </c>
    </row>
    <row r="43" spans="1:75" x14ac:dyDescent="0.3">
      <c r="A43" s="48">
        <v>39</v>
      </c>
      <c r="B43" s="16">
        <f t="shared" si="10"/>
        <v>39</v>
      </c>
      <c r="C43" s="69">
        <v>585</v>
      </c>
      <c r="D43" s="70">
        <v>643.5</v>
      </c>
      <c r="E43" s="65">
        <v>702</v>
      </c>
      <c r="F43" s="66">
        <v>772.2</v>
      </c>
      <c r="G43" s="177">
        <v>585</v>
      </c>
      <c r="H43" s="71">
        <v>643.5</v>
      </c>
      <c r="I43" s="72">
        <v>2011</v>
      </c>
      <c r="J43" s="72">
        <f t="shared" si="28"/>
        <v>128.70000000000005</v>
      </c>
      <c r="K43" s="50">
        <f t="shared" si="29"/>
        <v>0.20000000000000007</v>
      </c>
      <c r="L43" s="100">
        <f t="shared" si="18"/>
        <v>-1.6042476042476042</v>
      </c>
      <c r="M43" s="134">
        <f t="shared" si="19"/>
        <v>0.16666666666666671</v>
      </c>
      <c r="O43" s="28">
        <f t="shared" si="11"/>
        <v>39</v>
      </c>
      <c r="P43" s="53">
        <v>1365</v>
      </c>
      <c r="Q43" s="57">
        <v>1501.5</v>
      </c>
      <c r="R43" s="177">
        <v>780</v>
      </c>
      <c r="S43" s="188">
        <v>858</v>
      </c>
      <c r="T43" s="177">
        <v>975</v>
      </c>
      <c r="U43" s="67">
        <v>1072.5</v>
      </c>
      <c r="V43" s="11">
        <v>2206</v>
      </c>
      <c r="W43" s="72">
        <f t="shared" si="2"/>
        <v>643.5</v>
      </c>
      <c r="X43" s="135">
        <f t="shared" si="20"/>
        <v>-0.25</v>
      </c>
      <c r="Y43" s="94">
        <f t="shared" si="21"/>
        <v>-1.5710955710955712</v>
      </c>
      <c r="AA43" s="28">
        <f t="shared" si="12"/>
        <v>39</v>
      </c>
      <c r="AB43" s="53">
        <v>1560</v>
      </c>
      <c r="AC43" s="57">
        <v>1716</v>
      </c>
      <c r="AD43" s="177">
        <v>975</v>
      </c>
      <c r="AE43" s="188">
        <v>1072.5</v>
      </c>
      <c r="AF43" s="177">
        <v>1950</v>
      </c>
      <c r="AG43" s="67">
        <v>2145</v>
      </c>
      <c r="AH43" s="11">
        <v>2206</v>
      </c>
      <c r="AI43" s="72">
        <f t="shared" si="3"/>
        <v>1072.5</v>
      </c>
      <c r="AJ43" s="139">
        <f t="shared" si="22"/>
        <v>-0.5</v>
      </c>
      <c r="AK43" s="94">
        <f t="shared" si="23"/>
        <v>-0.51382592928377158</v>
      </c>
      <c r="AM43" s="28">
        <f t="shared" si="13"/>
        <v>39</v>
      </c>
      <c r="AN43" s="53">
        <v>2730</v>
      </c>
      <c r="AO43" s="57">
        <v>3003</v>
      </c>
      <c r="AP43" s="177">
        <v>1092</v>
      </c>
      <c r="AQ43" s="188">
        <v>1201.2</v>
      </c>
      <c r="AR43" s="177">
        <v>2145</v>
      </c>
      <c r="AS43" s="67">
        <v>2359.5</v>
      </c>
      <c r="AT43" s="11">
        <v>2636.25</v>
      </c>
      <c r="AU43" s="72">
        <f t="shared" si="4"/>
        <v>1801.8</v>
      </c>
      <c r="AV43" s="50">
        <f t="shared" si="5"/>
        <v>1.5</v>
      </c>
      <c r="AW43" s="139">
        <f t="shared" si="14"/>
        <v>-0.49090909090909091</v>
      </c>
      <c r="AX43" s="94">
        <f t="shared" si="24"/>
        <v>-0.54435277382645797</v>
      </c>
      <c r="AZ43" s="28">
        <f t="shared" si="15"/>
        <v>39</v>
      </c>
      <c r="BA43" s="53">
        <v>2730</v>
      </c>
      <c r="BB43" s="57">
        <v>3003</v>
      </c>
      <c r="BC43" s="177">
        <v>1170</v>
      </c>
      <c r="BD43" s="188">
        <v>1287</v>
      </c>
      <c r="BE43" s="177">
        <v>1950</v>
      </c>
      <c r="BF43" s="67">
        <v>2145</v>
      </c>
      <c r="BG43" s="11">
        <v>2792.25</v>
      </c>
      <c r="BH43" s="72">
        <f t="shared" si="6"/>
        <v>1716</v>
      </c>
      <c r="BI43" s="50">
        <f t="shared" si="7"/>
        <v>1.3333333333333333</v>
      </c>
      <c r="BJ43" s="50">
        <f t="shared" si="25"/>
        <v>-0.5390813859790492</v>
      </c>
      <c r="BK43" s="135">
        <f t="shared" si="16"/>
        <v>-0.4</v>
      </c>
      <c r="BM43" s="28">
        <f t="shared" si="17"/>
        <v>39</v>
      </c>
      <c r="BN43" s="53">
        <v>2730</v>
      </c>
      <c r="BO43" s="57">
        <v>3003</v>
      </c>
      <c r="BP43" s="177">
        <v>1755</v>
      </c>
      <c r="BQ43" s="188">
        <v>1930.5</v>
      </c>
      <c r="BR43" s="177">
        <v>2340</v>
      </c>
      <c r="BS43" s="67">
        <v>2574</v>
      </c>
      <c r="BT43" s="67">
        <v>3377.25</v>
      </c>
      <c r="BU43" s="72">
        <f t="shared" si="8"/>
        <v>1072.5</v>
      </c>
      <c r="BV43" s="50">
        <f t="shared" si="9"/>
        <v>0.55555555555555558</v>
      </c>
      <c r="BW43" s="135">
        <f t="shared" si="27"/>
        <v>-0.25</v>
      </c>
    </row>
    <row r="44" spans="1:75" x14ac:dyDescent="0.3">
      <c r="A44" s="48">
        <v>40</v>
      </c>
      <c r="B44" s="16">
        <f t="shared" si="10"/>
        <v>40</v>
      </c>
      <c r="C44" s="69">
        <v>600</v>
      </c>
      <c r="D44" s="70">
        <v>660</v>
      </c>
      <c r="E44" s="65">
        <v>720</v>
      </c>
      <c r="F44" s="66">
        <v>792</v>
      </c>
      <c r="G44" s="177">
        <v>600</v>
      </c>
      <c r="H44" s="71">
        <v>660</v>
      </c>
      <c r="I44" s="72">
        <v>2062.5</v>
      </c>
      <c r="J44" s="72">
        <f t="shared" si="28"/>
        <v>132</v>
      </c>
      <c r="K44" s="50">
        <f t="shared" si="29"/>
        <v>0.2</v>
      </c>
      <c r="L44" s="100">
        <f t="shared" si="18"/>
        <v>-1.6041666666666667</v>
      </c>
      <c r="M44" s="134">
        <f t="shared" si="19"/>
        <v>0.16666666666666666</v>
      </c>
      <c r="O44" s="28">
        <f t="shared" si="11"/>
        <v>40</v>
      </c>
      <c r="P44" s="53">
        <v>1400</v>
      </c>
      <c r="Q44" s="57">
        <v>1540</v>
      </c>
      <c r="R44" s="177">
        <v>800</v>
      </c>
      <c r="S44" s="188">
        <v>880</v>
      </c>
      <c r="T44" s="177">
        <v>1000</v>
      </c>
      <c r="U44" s="67">
        <v>1100</v>
      </c>
      <c r="V44" s="11">
        <v>2262.5</v>
      </c>
      <c r="W44" s="72">
        <f t="shared" si="2"/>
        <v>660</v>
      </c>
      <c r="X44" s="135">
        <f t="shared" si="20"/>
        <v>-0.25</v>
      </c>
      <c r="Y44" s="94">
        <f t="shared" si="21"/>
        <v>-1.5710227272727273</v>
      </c>
      <c r="AA44" s="28">
        <f t="shared" si="12"/>
        <v>40</v>
      </c>
      <c r="AB44" s="53">
        <v>1600</v>
      </c>
      <c r="AC44" s="57">
        <v>1760</v>
      </c>
      <c r="AD44" s="177">
        <v>1000</v>
      </c>
      <c r="AE44" s="188">
        <v>1100</v>
      </c>
      <c r="AF44" s="177">
        <v>2000</v>
      </c>
      <c r="AG44" s="67">
        <v>2200</v>
      </c>
      <c r="AH44" s="11">
        <v>2262.5</v>
      </c>
      <c r="AI44" s="72">
        <f t="shared" si="3"/>
        <v>1100</v>
      </c>
      <c r="AJ44" s="139">
        <f t="shared" si="22"/>
        <v>-0.5</v>
      </c>
      <c r="AK44" s="94">
        <f t="shared" si="23"/>
        <v>-0.51381215469613262</v>
      </c>
      <c r="AM44" s="28">
        <f t="shared" si="13"/>
        <v>40</v>
      </c>
      <c r="AN44" s="53">
        <v>2800</v>
      </c>
      <c r="AO44" s="57">
        <v>3080</v>
      </c>
      <c r="AP44" s="177">
        <v>1120</v>
      </c>
      <c r="AQ44" s="188">
        <v>1232</v>
      </c>
      <c r="AR44" s="177">
        <v>2200</v>
      </c>
      <c r="AS44" s="67">
        <v>2420</v>
      </c>
      <c r="AT44" s="11">
        <v>2703.75</v>
      </c>
      <c r="AU44" s="72">
        <f t="shared" si="4"/>
        <v>1848</v>
      </c>
      <c r="AV44" s="50">
        <f t="shared" si="5"/>
        <v>1.5</v>
      </c>
      <c r="AW44" s="139">
        <f t="shared" si="14"/>
        <v>-0.49090909090909091</v>
      </c>
      <c r="AX44" s="94">
        <f t="shared" si="24"/>
        <v>-0.544336569579288</v>
      </c>
      <c r="AZ44" s="28">
        <f t="shared" si="15"/>
        <v>40</v>
      </c>
      <c r="BA44" s="53">
        <v>2800</v>
      </c>
      <c r="BB44" s="57">
        <v>3080</v>
      </c>
      <c r="BC44" s="177">
        <v>1200</v>
      </c>
      <c r="BD44" s="188">
        <v>1320</v>
      </c>
      <c r="BE44" s="177">
        <v>2000</v>
      </c>
      <c r="BF44" s="67">
        <v>2200</v>
      </c>
      <c r="BG44" s="11">
        <v>2863.75</v>
      </c>
      <c r="BH44" s="72">
        <f t="shared" si="6"/>
        <v>1760</v>
      </c>
      <c r="BI44" s="50">
        <f t="shared" si="7"/>
        <v>1.3333333333333333</v>
      </c>
      <c r="BJ44" s="50">
        <f t="shared" si="25"/>
        <v>-0.53906591008293325</v>
      </c>
      <c r="BK44" s="135">
        <f t="shared" si="16"/>
        <v>-0.4</v>
      </c>
      <c r="BM44" s="28">
        <f t="shared" si="17"/>
        <v>40</v>
      </c>
      <c r="BN44" s="53">
        <v>2800</v>
      </c>
      <c r="BO44" s="57">
        <v>3080</v>
      </c>
      <c r="BP44" s="177">
        <v>1800</v>
      </c>
      <c r="BQ44" s="188">
        <v>1980</v>
      </c>
      <c r="BR44" s="177">
        <v>2400</v>
      </c>
      <c r="BS44" s="67">
        <v>2640</v>
      </c>
      <c r="BT44" s="67">
        <v>3463.75</v>
      </c>
      <c r="BU44" s="72">
        <f t="shared" si="8"/>
        <v>1100</v>
      </c>
      <c r="BV44" s="50">
        <f t="shared" si="9"/>
        <v>0.55555555555555558</v>
      </c>
      <c r="BW44" s="135">
        <f t="shared" si="27"/>
        <v>-0.25</v>
      </c>
    </row>
    <row r="45" spans="1:75" x14ac:dyDescent="0.3">
      <c r="A45" s="48">
        <v>41</v>
      </c>
      <c r="B45" s="16">
        <f t="shared" si="10"/>
        <v>41</v>
      </c>
      <c r="C45" s="69">
        <v>615</v>
      </c>
      <c r="D45" s="70">
        <v>676.5</v>
      </c>
      <c r="E45" s="65">
        <v>738</v>
      </c>
      <c r="F45" s="66">
        <v>811.8</v>
      </c>
      <c r="G45" s="177">
        <v>615</v>
      </c>
      <c r="H45" s="71">
        <v>676.5</v>
      </c>
      <c r="I45" s="72">
        <v>2114</v>
      </c>
      <c r="J45" s="72">
        <f t="shared" si="28"/>
        <v>135.29999999999995</v>
      </c>
      <c r="K45" s="50">
        <f t="shared" si="29"/>
        <v>0.19999999999999993</v>
      </c>
      <c r="L45" s="100">
        <f t="shared" si="18"/>
        <v>-1.6040896772604092</v>
      </c>
      <c r="M45" s="134">
        <f t="shared" si="19"/>
        <v>0.16666666666666663</v>
      </c>
      <c r="O45" s="28">
        <f t="shared" si="11"/>
        <v>41</v>
      </c>
      <c r="P45" s="53">
        <v>1435</v>
      </c>
      <c r="Q45" s="57">
        <v>1578.5</v>
      </c>
      <c r="R45" s="177">
        <v>820</v>
      </c>
      <c r="S45" s="188">
        <v>902</v>
      </c>
      <c r="T45" s="177">
        <v>1025</v>
      </c>
      <c r="U45" s="67">
        <v>1127.5</v>
      </c>
      <c r="V45" s="11">
        <v>2319</v>
      </c>
      <c r="W45" s="72">
        <f t="shared" si="2"/>
        <v>676.5</v>
      </c>
      <c r="X45" s="135">
        <f t="shared" si="20"/>
        <v>-0.25</v>
      </c>
      <c r="Y45" s="94">
        <f t="shared" si="21"/>
        <v>-1.5709534368070954</v>
      </c>
      <c r="AA45" s="28">
        <f t="shared" si="12"/>
        <v>41</v>
      </c>
      <c r="AB45" s="53">
        <v>1640</v>
      </c>
      <c r="AC45" s="57">
        <v>1804</v>
      </c>
      <c r="AD45" s="177">
        <v>1025</v>
      </c>
      <c r="AE45" s="188">
        <v>1127.5</v>
      </c>
      <c r="AF45" s="177">
        <v>2050</v>
      </c>
      <c r="AG45" s="67">
        <v>2255</v>
      </c>
      <c r="AH45" s="11">
        <v>2319</v>
      </c>
      <c r="AI45" s="72">
        <f t="shared" si="3"/>
        <v>1127.5</v>
      </c>
      <c r="AJ45" s="139">
        <f t="shared" si="22"/>
        <v>-0.5</v>
      </c>
      <c r="AK45" s="94">
        <f t="shared" si="23"/>
        <v>-0.51379905131522208</v>
      </c>
      <c r="AM45" s="28">
        <f t="shared" si="13"/>
        <v>41</v>
      </c>
      <c r="AN45" s="53">
        <v>2870</v>
      </c>
      <c r="AO45" s="57">
        <v>3157</v>
      </c>
      <c r="AP45" s="177">
        <v>1148</v>
      </c>
      <c r="AQ45" s="188">
        <v>1262.8</v>
      </c>
      <c r="AR45" s="177">
        <v>2255</v>
      </c>
      <c r="AS45" s="67">
        <v>2480.5</v>
      </c>
      <c r="AT45" s="11">
        <v>2771.25</v>
      </c>
      <c r="AU45" s="72">
        <f t="shared" si="4"/>
        <v>1894.2</v>
      </c>
      <c r="AV45" s="50">
        <f t="shared" si="5"/>
        <v>1.5</v>
      </c>
      <c r="AW45" s="139">
        <f t="shared" si="14"/>
        <v>-0.49090909090909091</v>
      </c>
      <c r="AX45" s="94">
        <f t="shared" si="24"/>
        <v>-0.54432115471357689</v>
      </c>
      <c r="AZ45" s="28">
        <f t="shared" si="15"/>
        <v>41</v>
      </c>
      <c r="BA45" s="53">
        <v>2870</v>
      </c>
      <c r="BB45" s="57">
        <v>3157</v>
      </c>
      <c r="BC45" s="177">
        <v>1230</v>
      </c>
      <c r="BD45" s="188">
        <v>1353</v>
      </c>
      <c r="BE45" s="177">
        <v>2050</v>
      </c>
      <c r="BF45" s="67">
        <v>2255</v>
      </c>
      <c r="BG45" s="11">
        <v>2935.25</v>
      </c>
      <c r="BH45" s="72">
        <f t="shared" si="6"/>
        <v>1804</v>
      </c>
      <c r="BI45" s="50">
        <f t="shared" si="7"/>
        <v>1.3333333333333333</v>
      </c>
      <c r="BJ45" s="50">
        <f t="shared" si="25"/>
        <v>-0.53905118814411035</v>
      </c>
      <c r="BK45" s="135">
        <f t="shared" si="16"/>
        <v>-0.4</v>
      </c>
      <c r="BM45" s="28">
        <f t="shared" si="17"/>
        <v>41</v>
      </c>
      <c r="BN45" s="53">
        <v>2870</v>
      </c>
      <c r="BO45" s="57">
        <v>3157</v>
      </c>
      <c r="BP45" s="177">
        <v>1845</v>
      </c>
      <c r="BQ45" s="188">
        <v>2029.5</v>
      </c>
      <c r="BR45" s="177">
        <v>2460</v>
      </c>
      <c r="BS45" s="67">
        <v>2706</v>
      </c>
      <c r="BT45" s="67">
        <v>3550.25</v>
      </c>
      <c r="BU45" s="72">
        <f t="shared" si="8"/>
        <v>1127.5</v>
      </c>
      <c r="BV45" s="50">
        <f t="shared" si="9"/>
        <v>0.55555555555555558</v>
      </c>
      <c r="BW45" s="135">
        <f t="shared" si="27"/>
        <v>-0.25</v>
      </c>
    </row>
    <row r="46" spans="1:75" x14ac:dyDescent="0.3">
      <c r="A46" s="48">
        <v>42</v>
      </c>
      <c r="B46" s="16">
        <f t="shared" si="10"/>
        <v>42</v>
      </c>
      <c r="C46" s="69">
        <v>630</v>
      </c>
      <c r="D46" s="70">
        <v>693</v>
      </c>
      <c r="E46" s="65">
        <v>756</v>
      </c>
      <c r="F46" s="66">
        <v>831.6</v>
      </c>
      <c r="G46" s="177">
        <v>630</v>
      </c>
      <c r="H46" s="71">
        <v>693</v>
      </c>
      <c r="I46" s="72">
        <v>2165.5</v>
      </c>
      <c r="J46" s="72">
        <f t="shared" si="28"/>
        <v>138.60000000000002</v>
      </c>
      <c r="K46" s="50">
        <f t="shared" si="29"/>
        <v>0.20000000000000004</v>
      </c>
      <c r="L46" s="100">
        <f t="shared" si="18"/>
        <v>-1.6040163540163541</v>
      </c>
      <c r="M46" s="134">
        <f t="shared" si="19"/>
        <v>0.16666666666666669</v>
      </c>
      <c r="O46" s="28">
        <f t="shared" si="11"/>
        <v>42</v>
      </c>
      <c r="P46" s="53">
        <v>1470</v>
      </c>
      <c r="Q46" s="57">
        <v>1617</v>
      </c>
      <c r="R46" s="177">
        <v>840</v>
      </c>
      <c r="S46" s="188">
        <v>924</v>
      </c>
      <c r="T46" s="177">
        <v>1050</v>
      </c>
      <c r="U46" s="67">
        <v>1155</v>
      </c>
      <c r="V46" s="11">
        <v>2375.5</v>
      </c>
      <c r="W46" s="72">
        <f t="shared" si="2"/>
        <v>693</v>
      </c>
      <c r="X46" s="135">
        <f t="shared" si="20"/>
        <v>-0.25</v>
      </c>
      <c r="Y46" s="94">
        <f t="shared" si="21"/>
        <v>-1.5708874458874458</v>
      </c>
      <c r="AA46" s="28">
        <f t="shared" si="12"/>
        <v>42</v>
      </c>
      <c r="AB46" s="53">
        <v>1680</v>
      </c>
      <c r="AC46" s="57">
        <v>1848</v>
      </c>
      <c r="AD46" s="177">
        <v>1050</v>
      </c>
      <c r="AE46" s="188">
        <v>1155</v>
      </c>
      <c r="AF46" s="177">
        <v>2100</v>
      </c>
      <c r="AG46" s="67">
        <v>2310</v>
      </c>
      <c r="AH46" s="11">
        <v>2375.5</v>
      </c>
      <c r="AI46" s="72">
        <f t="shared" si="3"/>
        <v>1155</v>
      </c>
      <c r="AJ46" s="139">
        <f t="shared" si="22"/>
        <v>-0.5</v>
      </c>
      <c r="AK46" s="94">
        <f t="shared" si="23"/>
        <v>-0.5137865712481583</v>
      </c>
      <c r="AM46" s="28">
        <f t="shared" si="13"/>
        <v>42</v>
      </c>
      <c r="AN46" s="53">
        <v>2940</v>
      </c>
      <c r="AO46" s="57">
        <v>3234</v>
      </c>
      <c r="AP46" s="177">
        <v>1176</v>
      </c>
      <c r="AQ46" s="188">
        <v>1293.5999999999999</v>
      </c>
      <c r="AR46" s="177">
        <v>2310</v>
      </c>
      <c r="AS46" s="67">
        <v>2541</v>
      </c>
      <c r="AT46" s="11">
        <v>2838.75</v>
      </c>
      <c r="AU46" s="72">
        <f t="shared" si="4"/>
        <v>1940.4</v>
      </c>
      <c r="AV46" s="50">
        <f t="shared" si="5"/>
        <v>1.5000000000000002</v>
      </c>
      <c r="AW46" s="139">
        <f t="shared" si="14"/>
        <v>-0.49090909090909091</v>
      </c>
      <c r="AX46" s="94">
        <f t="shared" si="24"/>
        <v>-0.5443064729194188</v>
      </c>
      <c r="AZ46" s="28">
        <f t="shared" si="15"/>
        <v>42</v>
      </c>
      <c r="BA46" s="53">
        <v>2940</v>
      </c>
      <c r="BB46" s="57">
        <v>3234</v>
      </c>
      <c r="BC46" s="177">
        <v>1260</v>
      </c>
      <c r="BD46" s="188">
        <v>1386</v>
      </c>
      <c r="BE46" s="177">
        <v>2100</v>
      </c>
      <c r="BF46" s="67">
        <v>2310</v>
      </c>
      <c r="BG46" s="11">
        <v>3006.75</v>
      </c>
      <c r="BH46" s="72">
        <f t="shared" si="6"/>
        <v>1848</v>
      </c>
      <c r="BI46" s="50">
        <f t="shared" si="7"/>
        <v>1.3333333333333333</v>
      </c>
      <c r="BJ46" s="50">
        <f t="shared" si="25"/>
        <v>-0.5390371663756548</v>
      </c>
      <c r="BK46" s="135">
        <f t="shared" si="16"/>
        <v>-0.4</v>
      </c>
      <c r="BM46" s="28">
        <f t="shared" si="17"/>
        <v>42</v>
      </c>
      <c r="BN46" s="53">
        <v>2940</v>
      </c>
      <c r="BO46" s="57">
        <v>3234</v>
      </c>
      <c r="BP46" s="177">
        <v>1890</v>
      </c>
      <c r="BQ46" s="188">
        <v>2079</v>
      </c>
      <c r="BR46" s="177">
        <v>2520</v>
      </c>
      <c r="BS46" s="67">
        <v>2772</v>
      </c>
      <c r="BT46" s="67">
        <v>3636.75</v>
      </c>
      <c r="BU46" s="72">
        <f t="shared" si="8"/>
        <v>1155</v>
      </c>
      <c r="BV46" s="50">
        <f t="shared" si="9"/>
        <v>0.55555555555555558</v>
      </c>
      <c r="BW46" s="135">
        <f t="shared" si="27"/>
        <v>-0.25</v>
      </c>
    </row>
    <row r="47" spans="1:75" x14ac:dyDescent="0.3">
      <c r="A47" s="48">
        <v>43</v>
      </c>
      <c r="B47" s="16">
        <f t="shared" si="10"/>
        <v>43</v>
      </c>
      <c r="C47" s="69">
        <v>645</v>
      </c>
      <c r="D47" s="70">
        <v>709.5</v>
      </c>
      <c r="E47" s="65">
        <v>774</v>
      </c>
      <c r="F47" s="66">
        <v>851.4</v>
      </c>
      <c r="G47" s="177">
        <v>645</v>
      </c>
      <c r="H47" s="71">
        <v>709.5</v>
      </c>
      <c r="I47" s="72">
        <v>2217</v>
      </c>
      <c r="J47" s="72">
        <f t="shared" si="28"/>
        <v>141.89999999999998</v>
      </c>
      <c r="K47" s="50">
        <f t="shared" si="29"/>
        <v>0.19999999999999996</v>
      </c>
      <c r="L47" s="100">
        <f t="shared" si="18"/>
        <v>-1.6039464411557434</v>
      </c>
      <c r="M47" s="134">
        <f t="shared" si="19"/>
        <v>0.16666666666666666</v>
      </c>
      <c r="O47" s="28">
        <f t="shared" si="11"/>
        <v>43</v>
      </c>
      <c r="P47" s="53">
        <v>1505</v>
      </c>
      <c r="Q47" s="57">
        <v>1655.5</v>
      </c>
      <c r="R47" s="177">
        <v>860</v>
      </c>
      <c r="S47" s="188">
        <v>946</v>
      </c>
      <c r="T47" s="177">
        <v>1075</v>
      </c>
      <c r="U47" s="67">
        <v>1182.5</v>
      </c>
      <c r="V47" s="11">
        <v>2432</v>
      </c>
      <c r="W47" s="72">
        <f t="shared" si="2"/>
        <v>709.5</v>
      </c>
      <c r="X47" s="135">
        <f t="shared" si="20"/>
        <v>-0.25</v>
      </c>
      <c r="Y47" s="94">
        <f t="shared" si="21"/>
        <v>-1.5708245243128964</v>
      </c>
      <c r="AA47" s="28">
        <f t="shared" si="12"/>
        <v>43</v>
      </c>
      <c r="AB47" s="53">
        <v>1720</v>
      </c>
      <c r="AC47" s="57">
        <v>1892</v>
      </c>
      <c r="AD47" s="177">
        <v>1075</v>
      </c>
      <c r="AE47" s="188">
        <v>1182.5</v>
      </c>
      <c r="AF47" s="177">
        <v>2150</v>
      </c>
      <c r="AG47" s="67">
        <v>2365</v>
      </c>
      <c r="AH47" s="11">
        <v>2432</v>
      </c>
      <c r="AI47" s="72">
        <f t="shared" si="3"/>
        <v>1182.5</v>
      </c>
      <c r="AJ47" s="139">
        <f t="shared" si="22"/>
        <v>-0.5</v>
      </c>
      <c r="AK47" s="94">
        <f t="shared" si="23"/>
        <v>-0.51377467105263153</v>
      </c>
      <c r="AM47" s="28">
        <f t="shared" si="13"/>
        <v>43</v>
      </c>
      <c r="AN47" s="53">
        <v>3010</v>
      </c>
      <c r="AO47" s="57">
        <v>3311</v>
      </c>
      <c r="AP47" s="177">
        <v>1204</v>
      </c>
      <c r="AQ47" s="188">
        <v>1324.4</v>
      </c>
      <c r="AR47" s="177">
        <v>2365</v>
      </c>
      <c r="AS47" s="67">
        <v>2601.5</v>
      </c>
      <c r="AT47" s="11">
        <v>2906.25</v>
      </c>
      <c r="AU47" s="72">
        <f t="shared" si="4"/>
        <v>1986.6</v>
      </c>
      <c r="AV47" s="50">
        <f t="shared" si="5"/>
        <v>1.4999999999999998</v>
      </c>
      <c r="AW47" s="139">
        <f t="shared" si="14"/>
        <v>-0.49090909090909091</v>
      </c>
      <c r="AX47" s="94">
        <f t="shared" si="24"/>
        <v>-0.54429247311827955</v>
      </c>
      <c r="AZ47" s="28">
        <f t="shared" si="15"/>
        <v>43</v>
      </c>
      <c r="BA47" s="53">
        <v>3010</v>
      </c>
      <c r="BB47" s="57">
        <v>3311</v>
      </c>
      <c r="BC47" s="177">
        <v>1290</v>
      </c>
      <c r="BD47" s="188">
        <v>1419</v>
      </c>
      <c r="BE47" s="177">
        <v>2150</v>
      </c>
      <c r="BF47" s="67">
        <v>2365</v>
      </c>
      <c r="BG47" s="11">
        <v>3078.25</v>
      </c>
      <c r="BH47" s="72">
        <f t="shared" si="6"/>
        <v>1892</v>
      </c>
      <c r="BI47" s="50">
        <f t="shared" si="7"/>
        <v>1.3333333333333333</v>
      </c>
      <c r="BJ47" s="50">
        <f t="shared" si="25"/>
        <v>-0.53902379598798023</v>
      </c>
      <c r="BK47" s="135">
        <f t="shared" si="16"/>
        <v>-0.4</v>
      </c>
      <c r="BM47" s="28">
        <f t="shared" si="17"/>
        <v>43</v>
      </c>
      <c r="BN47" s="53">
        <v>3010</v>
      </c>
      <c r="BO47" s="57">
        <v>3311</v>
      </c>
      <c r="BP47" s="177">
        <v>1935</v>
      </c>
      <c r="BQ47" s="188">
        <v>2128.5</v>
      </c>
      <c r="BR47" s="177">
        <v>2580</v>
      </c>
      <c r="BS47" s="67">
        <v>2838</v>
      </c>
      <c r="BT47" s="67">
        <v>3723.25</v>
      </c>
      <c r="BU47" s="72">
        <f t="shared" si="8"/>
        <v>1182.5</v>
      </c>
      <c r="BV47" s="50">
        <f t="shared" si="9"/>
        <v>0.55555555555555558</v>
      </c>
      <c r="BW47" s="135">
        <f t="shared" si="27"/>
        <v>-0.25</v>
      </c>
    </row>
    <row r="48" spans="1:75" x14ac:dyDescent="0.3">
      <c r="A48" s="48">
        <v>44</v>
      </c>
      <c r="B48" s="16">
        <f t="shared" si="10"/>
        <v>44</v>
      </c>
      <c r="C48" s="69">
        <v>660</v>
      </c>
      <c r="D48" s="70">
        <v>726</v>
      </c>
      <c r="E48" s="65">
        <v>792</v>
      </c>
      <c r="F48" s="66">
        <v>871.2</v>
      </c>
      <c r="G48" s="177">
        <v>660</v>
      </c>
      <c r="H48" s="71">
        <v>726</v>
      </c>
      <c r="I48" s="72">
        <v>2268.5</v>
      </c>
      <c r="J48" s="72">
        <f t="shared" si="28"/>
        <v>145.20000000000005</v>
      </c>
      <c r="K48" s="50">
        <f t="shared" si="29"/>
        <v>0.20000000000000007</v>
      </c>
      <c r="L48" s="100">
        <f t="shared" si="18"/>
        <v>-1.6038797061524332</v>
      </c>
      <c r="M48" s="134">
        <f t="shared" si="19"/>
        <v>0.16666666666666671</v>
      </c>
      <c r="O48" s="28">
        <f t="shared" si="11"/>
        <v>44</v>
      </c>
      <c r="P48" s="53">
        <v>1540</v>
      </c>
      <c r="Q48" s="57">
        <v>1694</v>
      </c>
      <c r="R48" s="177">
        <v>880</v>
      </c>
      <c r="S48" s="188">
        <v>968</v>
      </c>
      <c r="T48" s="177">
        <v>1100</v>
      </c>
      <c r="U48" s="67">
        <v>1210</v>
      </c>
      <c r="V48" s="11">
        <v>2488.5</v>
      </c>
      <c r="W48" s="72">
        <f t="shared" si="2"/>
        <v>726</v>
      </c>
      <c r="X48" s="135">
        <f t="shared" si="20"/>
        <v>-0.25</v>
      </c>
      <c r="Y48" s="94">
        <f t="shared" si="21"/>
        <v>-1.5707644628099173</v>
      </c>
      <c r="AA48" s="28">
        <f t="shared" si="12"/>
        <v>44</v>
      </c>
      <c r="AB48" s="53">
        <v>1760</v>
      </c>
      <c r="AC48" s="57">
        <v>1936</v>
      </c>
      <c r="AD48" s="177">
        <v>1100</v>
      </c>
      <c r="AE48" s="188">
        <v>1210</v>
      </c>
      <c r="AF48" s="177">
        <v>2200</v>
      </c>
      <c r="AG48" s="67">
        <v>2420</v>
      </c>
      <c r="AH48" s="11">
        <v>2488.5</v>
      </c>
      <c r="AI48" s="72">
        <f t="shared" si="3"/>
        <v>1210</v>
      </c>
      <c r="AJ48" s="139">
        <f t="shared" si="22"/>
        <v>-0.5</v>
      </c>
      <c r="AK48" s="94">
        <f t="shared" si="23"/>
        <v>-0.51376331123166563</v>
      </c>
      <c r="AM48" s="28">
        <f t="shared" si="13"/>
        <v>44</v>
      </c>
      <c r="AN48" s="53">
        <v>3080</v>
      </c>
      <c r="AO48" s="57">
        <v>3388</v>
      </c>
      <c r="AP48" s="177">
        <v>1232</v>
      </c>
      <c r="AQ48" s="188">
        <v>1355.2</v>
      </c>
      <c r="AR48" s="177">
        <v>2420</v>
      </c>
      <c r="AS48" s="67">
        <v>2662</v>
      </c>
      <c r="AT48" s="11">
        <v>2973.75</v>
      </c>
      <c r="AU48" s="72">
        <f t="shared" si="4"/>
        <v>2032.8</v>
      </c>
      <c r="AV48" s="50">
        <f t="shared" si="5"/>
        <v>1.5</v>
      </c>
      <c r="AW48" s="139">
        <f t="shared" si="14"/>
        <v>-0.49090909090909091</v>
      </c>
      <c r="AX48" s="94">
        <f t="shared" si="24"/>
        <v>-0.54427910886927278</v>
      </c>
      <c r="AZ48" s="28">
        <f t="shared" si="15"/>
        <v>44</v>
      </c>
      <c r="BA48" s="53">
        <v>3080</v>
      </c>
      <c r="BB48" s="57">
        <v>3388</v>
      </c>
      <c r="BC48" s="177">
        <v>1320</v>
      </c>
      <c r="BD48" s="188">
        <v>1452</v>
      </c>
      <c r="BE48" s="177">
        <v>2200</v>
      </c>
      <c r="BF48" s="67">
        <v>2420</v>
      </c>
      <c r="BG48" s="11">
        <v>3149.75</v>
      </c>
      <c r="BH48" s="72">
        <f t="shared" si="6"/>
        <v>1936</v>
      </c>
      <c r="BI48" s="50">
        <f t="shared" si="7"/>
        <v>1.3333333333333333</v>
      </c>
      <c r="BJ48" s="50">
        <f t="shared" si="25"/>
        <v>-0.53901103262163663</v>
      </c>
      <c r="BK48" s="135">
        <f t="shared" si="16"/>
        <v>-0.4</v>
      </c>
      <c r="BM48" s="28">
        <f t="shared" si="17"/>
        <v>44</v>
      </c>
      <c r="BN48" s="53">
        <v>3080</v>
      </c>
      <c r="BO48" s="57">
        <v>3388</v>
      </c>
      <c r="BP48" s="177">
        <v>1980</v>
      </c>
      <c r="BQ48" s="188">
        <v>2178</v>
      </c>
      <c r="BR48" s="177">
        <v>2640</v>
      </c>
      <c r="BS48" s="67">
        <v>2904</v>
      </c>
      <c r="BT48" s="67">
        <v>3809.75</v>
      </c>
      <c r="BU48" s="72">
        <f t="shared" si="8"/>
        <v>1210</v>
      </c>
      <c r="BV48" s="50">
        <f t="shared" si="9"/>
        <v>0.55555555555555558</v>
      </c>
      <c r="BW48" s="135">
        <f t="shared" si="27"/>
        <v>-0.25</v>
      </c>
    </row>
    <row r="49" spans="1:75" x14ac:dyDescent="0.3">
      <c r="A49" s="48">
        <v>45</v>
      </c>
      <c r="B49" s="16">
        <f t="shared" si="10"/>
        <v>45</v>
      </c>
      <c r="C49" s="69">
        <v>675</v>
      </c>
      <c r="D49" s="70">
        <v>742.5</v>
      </c>
      <c r="E49" s="65">
        <v>810</v>
      </c>
      <c r="F49" s="66">
        <v>891</v>
      </c>
      <c r="G49" s="177">
        <v>675</v>
      </c>
      <c r="H49" s="71">
        <v>742.5</v>
      </c>
      <c r="I49" s="72">
        <v>2320</v>
      </c>
      <c r="J49" s="72">
        <f t="shared" si="28"/>
        <v>148.5</v>
      </c>
      <c r="K49" s="50">
        <f t="shared" si="29"/>
        <v>0.2</v>
      </c>
      <c r="L49" s="100">
        <f t="shared" si="18"/>
        <v>-1.6038159371492704</v>
      </c>
      <c r="M49" s="134">
        <f t="shared" si="19"/>
        <v>0.16666666666666666</v>
      </c>
      <c r="O49" s="28">
        <f t="shared" si="11"/>
        <v>45</v>
      </c>
      <c r="P49" s="53">
        <v>1575</v>
      </c>
      <c r="Q49" s="57">
        <v>1732.5</v>
      </c>
      <c r="R49" s="177">
        <v>900</v>
      </c>
      <c r="S49" s="188">
        <v>990</v>
      </c>
      <c r="T49" s="177">
        <v>1125</v>
      </c>
      <c r="U49" s="67">
        <v>1237.5</v>
      </c>
      <c r="V49" s="11">
        <v>2545</v>
      </c>
      <c r="W49" s="72">
        <f t="shared" si="2"/>
        <v>742.5</v>
      </c>
      <c r="X49" s="135">
        <f t="shared" si="20"/>
        <v>-0.25</v>
      </c>
      <c r="Y49" s="94">
        <f t="shared" si="21"/>
        <v>-1.5707070707070707</v>
      </c>
      <c r="AA49" s="28">
        <f t="shared" si="12"/>
        <v>45</v>
      </c>
      <c r="AB49" s="53">
        <v>1800</v>
      </c>
      <c r="AC49" s="57">
        <v>1980</v>
      </c>
      <c r="AD49" s="177">
        <v>1125</v>
      </c>
      <c r="AE49" s="188">
        <v>1237.5</v>
      </c>
      <c r="AF49" s="177">
        <v>2250</v>
      </c>
      <c r="AG49" s="67">
        <v>2475</v>
      </c>
      <c r="AH49" s="11">
        <v>2545</v>
      </c>
      <c r="AI49" s="72">
        <f t="shared" si="3"/>
        <v>1237.5</v>
      </c>
      <c r="AJ49" s="139">
        <f t="shared" si="22"/>
        <v>-0.5</v>
      </c>
      <c r="AK49" s="94">
        <f t="shared" si="23"/>
        <v>-0.51375245579567785</v>
      </c>
      <c r="AM49" s="28">
        <f t="shared" si="13"/>
        <v>45</v>
      </c>
      <c r="AN49" s="53">
        <v>3150</v>
      </c>
      <c r="AO49" s="57">
        <v>3465</v>
      </c>
      <c r="AP49" s="177">
        <v>1260</v>
      </c>
      <c r="AQ49" s="188">
        <v>1386</v>
      </c>
      <c r="AR49" s="177">
        <v>2475</v>
      </c>
      <c r="AS49" s="67">
        <v>2722.5</v>
      </c>
      <c r="AT49" s="11">
        <v>3041.25</v>
      </c>
      <c r="AU49" s="72">
        <f t="shared" si="4"/>
        <v>2079</v>
      </c>
      <c r="AV49" s="50">
        <f t="shared" si="5"/>
        <v>1.5</v>
      </c>
      <c r="AW49" s="139">
        <f t="shared" si="14"/>
        <v>-0.49090909090909091</v>
      </c>
      <c r="AX49" s="94">
        <f t="shared" si="24"/>
        <v>-0.54426633785450063</v>
      </c>
      <c r="AZ49" s="28">
        <f t="shared" si="15"/>
        <v>45</v>
      </c>
      <c r="BA49" s="53">
        <v>3150</v>
      </c>
      <c r="BB49" s="57">
        <v>3465</v>
      </c>
      <c r="BC49" s="177">
        <v>1350</v>
      </c>
      <c r="BD49" s="188">
        <v>1485</v>
      </c>
      <c r="BE49" s="177">
        <v>2250</v>
      </c>
      <c r="BF49" s="67">
        <v>2475</v>
      </c>
      <c r="BG49" s="11">
        <v>3221.25</v>
      </c>
      <c r="BH49" s="72">
        <f t="shared" si="6"/>
        <v>1980</v>
      </c>
      <c r="BI49" s="50">
        <f t="shared" si="7"/>
        <v>1.3333333333333333</v>
      </c>
      <c r="BJ49" s="50">
        <f t="shared" si="25"/>
        <v>-0.53899883585564612</v>
      </c>
      <c r="BK49" s="135">
        <f t="shared" si="16"/>
        <v>-0.4</v>
      </c>
      <c r="BM49" s="28">
        <f t="shared" si="17"/>
        <v>45</v>
      </c>
      <c r="BN49" s="53">
        <v>3150</v>
      </c>
      <c r="BO49" s="57">
        <v>3465</v>
      </c>
      <c r="BP49" s="177">
        <v>2025</v>
      </c>
      <c r="BQ49" s="188">
        <v>2227.5</v>
      </c>
      <c r="BR49" s="177">
        <v>2700</v>
      </c>
      <c r="BS49" s="67">
        <v>2970</v>
      </c>
      <c r="BT49" s="67">
        <v>3896.25</v>
      </c>
      <c r="BU49" s="72">
        <f t="shared" si="8"/>
        <v>1237.5</v>
      </c>
      <c r="BV49" s="50">
        <f t="shared" si="9"/>
        <v>0.55555555555555558</v>
      </c>
      <c r="BW49" s="135">
        <f t="shared" si="27"/>
        <v>-0.25</v>
      </c>
    </row>
    <row r="50" spans="1:75" x14ac:dyDescent="0.3">
      <c r="A50" s="48">
        <v>46</v>
      </c>
      <c r="B50" s="16">
        <f t="shared" si="10"/>
        <v>46</v>
      </c>
      <c r="C50" s="69">
        <v>690</v>
      </c>
      <c r="D50" s="70">
        <v>759</v>
      </c>
      <c r="E50" s="65">
        <v>828</v>
      </c>
      <c r="F50" s="66">
        <v>910.8</v>
      </c>
      <c r="G50" s="177">
        <v>690</v>
      </c>
      <c r="H50" s="71">
        <v>759</v>
      </c>
      <c r="I50" s="72">
        <v>2371.5</v>
      </c>
      <c r="J50" s="72">
        <f t="shared" si="28"/>
        <v>151.79999999999995</v>
      </c>
      <c r="K50" s="50">
        <f t="shared" si="29"/>
        <v>0.19999999999999993</v>
      </c>
      <c r="L50" s="100">
        <f t="shared" si="18"/>
        <v>-1.6037549407114626</v>
      </c>
      <c r="M50" s="134">
        <f t="shared" si="19"/>
        <v>0.16666666666666663</v>
      </c>
      <c r="O50" s="28">
        <f t="shared" si="11"/>
        <v>46</v>
      </c>
      <c r="P50" s="53">
        <v>1610</v>
      </c>
      <c r="Q50" s="57">
        <v>1771</v>
      </c>
      <c r="R50" s="177">
        <v>920</v>
      </c>
      <c r="S50" s="188">
        <v>1012</v>
      </c>
      <c r="T50" s="177">
        <v>1150</v>
      </c>
      <c r="U50" s="67">
        <v>1265</v>
      </c>
      <c r="V50" s="11">
        <v>2601.5</v>
      </c>
      <c r="W50" s="72">
        <f t="shared" si="2"/>
        <v>759</v>
      </c>
      <c r="X50" s="135">
        <f t="shared" si="20"/>
        <v>-0.25</v>
      </c>
      <c r="Y50" s="94">
        <f t="shared" si="21"/>
        <v>-1.5706521739130435</v>
      </c>
      <c r="AA50" s="28">
        <f t="shared" si="12"/>
        <v>46</v>
      </c>
      <c r="AB50" s="53">
        <v>1840</v>
      </c>
      <c r="AC50" s="57">
        <v>2024</v>
      </c>
      <c r="AD50" s="177">
        <v>1150</v>
      </c>
      <c r="AE50" s="188">
        <v>1265</v>
      </c>
      <c r="AF50" s="177">
        <v>2300</v>
      </c>
      <c r="AG50" s="67">
        <v>2530</v>
      </c>
      <c r="AH50" s="11">
        <v>2601.5</v>
      </c>
      <c r="AI50" s="72">
        <f t="shared" si="3"/>
        <v>1265</v>
      </c>
      <c r="AJ50" s="139">
        <f t="shared" si="22"/>
        <v>-0.5</v>
      </c>
      <c r="AK50" s="94">
        <f t="shared" si="23"/>
        <v>-0.51374207188160681</v>
      </c>
      <c r="AM50" s="28">
        <f t="shared" si="13"/>
        <v>46</v>
      </c>
      <c r="AN50" s="53">
        <v>3220</v>
      </c>
      <c r="AO50" s="57">
        <v>3542</v>
      </c>
      <c r="AP50" s="177">
        <v>1288</v>
      </c>
      <c r="AQ50" s="188">
        <v>1416.8</v>
      </c>
      <c r="AR50" s="177">
        <v>2530</v>
      </c>
      <c r="AS50" s="67">
        <v>2783</v>
      </c>
      <c r="AT50" s="11">
        <v>3108.75</v>
      </c>
      <c r="AU50" s="72">
        <f t="shared" si="4"/>
        <v>2125.1999999999998</v>
      </c>
      <c r="AV50" s="50">
        <f t="shared" si="5"/>
        <v>1.5</v>
      </c>
      <c r="AW50" s="139">
        <f t="shared" si="14"/>
        <v>-0.49090909090909091</v>
      </c>
      <c r="AX50" s="94">
        <f t="shared" si="24"/>
        <v>-0.54425412143144347</v>
      </c>
      <c r="AZ50" s="28">
        <f t="shared" si="15"/>
        <v>46</v>
      </c>
      <c r="BA50" s="53">
        <v>3220</v>
      </c>
      <c r="BB50" s="57">
        <v>3542</v>
      </c>
      <c r="BC50" s="177">
        <v>1380</v>
      </c>
      <c r="BD50" s="188">
        <v>1518</v>
      </c>
      <c r="BE50" s="177">
        <v>2300</v>
      </c>
      <c r="BF50" s="67">
        <v>2530</v>
      </c>
      <c r="BG50" s="11">
        <v>3292.75</v>
      </c>
      <c r="BH50" s="72">
        <f t="shared" si="6"/>
        <v>2024</v>
      </c>
      <c r="BI50" s="50">
        <f t="shared" si="7"/>
        <v>1.3333333333333333</v>
      </c>
      <c r="BJ50" s="50">
        <f t="shared" si="25"/>
        <v>-0.53898716877989528</v>
      </c>
      <c r="BK50" s="135">
        <f t="shared" si="16"/>
        <v>-0.4</v>
      </c>
      <c r="BM50" s="28">
        <f t="shared" si="17"/>
        <v>46</v>
      </c>
      <c r="BN50" s="53">
        <v>3220</v>
      </c>
      <c r="BO50" s="57">
        <v>3542</v>
      </c>
      <c r="BP50" s="177">
        <v>2070</v>
      </c>
      <c r="BQ50" s="188">
        <v>2277</v>
      </c>
      <c r="BR50" s="177">
        <v>2760</v>
      </c>
      <c r="BS50" s="67">
        <v>3036</v>
      </c>
      <c r="BT50" s="67">
        <v>3982.75</v>
      </c>
      <c r="BU50" s="72">
        <f t="shared" si="8"/>
        <v>1265</v>
      </c>
      <c r="BV50" s="50">
        <f t="shared" si="9"/>
        <v>0.55555555555555558</v>
      </c>
      <c r="BW50" s="135">
        <f t="shared" si="27"/>
        <v>-0.25</v>
      </c>
    </row>
    <row r="51" spans="1:75" x14ac:dyDescent="0.3">
      <c r="A51" s="48">
        <v>47</v>
      </c>
      <c r="B51" s="16">
        <f t="shared" si="10"/>
        <v>47</v>
      </c>
      <c r="C51" s="69">
        <v>705</v>
      </c>
      <c r="D51" s="70">
        <v>775.5</v>
      </c>
      <c r="E51" s="65">
        <v>846</v>
      </c>
      <c r="F51" s="66">
        <v>930.6</v>
      </c>
      <c r="G51" s="177">
        <v>705</v>
      </c>
      <c r="H51" s="71">
        <v>775.5</v>
      </c>
      <c r="I51" s="72">
        <v>2423</v>
      </c>
      <c r="J51" s="72">
        <f t="shared" si="28"/>
        <v>155.10000000000002</v>
      </c>
      <c r="K51" s="50">
        <f t="shared" si="29"/>
        <v>0.20000000000000004</v>
      </c>
      <c r="L51" s="100">
        <f t="shared" si="18"/>
        <v>-1.6036965398667526</v>
      </c>
      <c r="M51" s="134">
        <f t="shared" si="19"/>
        <v>0.16666666666666669</v>
      </c>
      <c r="O51" s="28">
        <f t="shared" si="11"/>
        <v>47</v>
      </c>
      <c r="P51" s="53">
        <v>1645</v>
      </c>
      <c r="Q51" s="57">
        <v>1809.5</v>
      </c>
      <c r="R51" s="177">
        <v>940</v>
      </c>
      <c r="S51" s="188">
        <v>1034</v>
      </c>
      <c r="T51" s="177">
        <v>1175</v>
      </c>
      <c r="U51" s="67">
        <v>1292.5</v>
      </c>
      <c r="V51" s="11">
        <v>2658</v>
      </c>
      <c r="W51" s="72">
        <f t="shared" si="2"/>
        <v>775.5</v>
      </c>
      <c r="X51" s="135">
        <f t="shared" si="20"/>
        <v>-0.25</v>
      </c>
      <c r="Y51" s="94">
        <f t="shared" si="21"/>
        <v>-1.5705996131528046</v>
      </c>
      <c r="AA51" s="28">
        <f t="shared" si="12"/>
        <v>47</v>
      </c>
      <c r="AB51" s="53">
        <v>1880</v>
      </c>
      <c r="AC51" s="57">
        <v>2068</v>
      </c>
      <c r="AD51" s="177">
        <v>1175</v>
      </c>
      <c r="AE51" s="188">
        <v>1292.5</v>
      </c>
      <c r="AF51" s="177">
        <v>2350</v>
      </c>
      <c r="AG51" s="67">
        <v>2585</v>
      </c>
      <c r="AH51" s="11">
        <v>2658</v>
      </c>
      <c r="AI51" s="72">
        <f t="shared" si="3"/>
        <v>1292.5</v>
      </c>
      <c r="AJ51" s="139">
        <f t="shared" si="22"/>
        <v>-0.5</v>
      </c>
      <c r="AK51" s="94">
        <f t="shared" si="23"/>
        <v>-0.51373212942061697</v>
      </c>
      <c r="AM51" s="28">
        <f t="shared" si="13"/>
        <v>47</v>
      </c>
      <c r="AN51" s="53">
        <v>3290</v>
      </c>
      <c r="AO51" s="57">
        <v>3619</v>
      </c>
      <c r="AP51" s="177">
        <v>1316</v>
      </c>
      <c r="AQ51" s="188">
        <v>1447.6</v>
      </c>
      <c r="AR51" s="177">
        <v>2585</v>
      </c>
      <c r="AS51" s="67">
        <v>2843.5</v>
      </c>
      <c r="AT51" s="11">
        <v>3176.25</v>
      </c>
      <c r="AU51" s="72">
        <f t="shared" si="4"/>
        <v>2171.4</v>
      </c>
      <c r="AV51" s="50">
        <f t="shared" si="5"/>
        <v>1.5000000000000002</v>
      </c>
      <c r="AW51" s="139">
        <f t="shared" si="14"/>
        <v>-0.49090909090909091</v>
      </c>
      <c r="AX51" s="94">
        <f t="shared" si="24"/>
        <v>-0.54424242424242431</v>
      </c>
      <c r="AZ51" s="28">
        <f t="shared" si="15"/>
        <v>47</v>
      </c>
      <c r="BA51" s="53">
        <v>3290</v>
      </c>
      <c r="BB51" s="57">
        <v>3619</v>
      </c>
      <c r="BC51" s="177">
        <v>1410</v>
      </c>
      <c r="BD51" s="188">
        <v>1551</v>
      </c>
      <c r="BE51" s="177">
        <v>2350</v>
      </c>
      <c r="BF51" s="67">
        <v>2585</v>
      </c>
      <c r="BG51" s="11">
        <v>3364.25</v>
      </c>
      <c r="BH51" s="72">
        <f t="shared" si="6"/>
        <v>2068</v>
      </c>
      <c r="BI51" s="50">
        <f t="shared" si="7"/>
        <v>1.3333333333333333</v>
      </c>
      <c r="BJ51" s="50">
        <f t="shared" si="25"/>
        <v>-0.53897599762205539</v>
      </c>
      <c r="BK51" s="135">
        <f t="shared" si="16"/>
        <v>-0.4</v>
      </c>
      <c r="BM51" s="28">
        <f t="shared" si="17"/>
        <v>47</v>
      </c>
      <c r="BN51" s="53">
        <v>3290</v>
      </c>
      <c r="BO51" s="57">
        <v>3619</v>
      </c>
      <c r="BP51" s="177">
        <v>2115</v>
      </c>
      <c r="BQ51" s="188">
        <v>2326.5</v>
      </c>
      <c r="BR51" s="177">
        <v>2820</v>
      </c>
      <c r="BS51" s="67">
        <v>3102</v>
      </c>
      <c r="BT51" s="67">
        <v>4069.25</v>
      </c>
      <c r="BU51" s="72">
        <f t="shared" si="8"/>
        <v>1292.5</v>
      </c>
      <c r="BV51" s="50">
        <f t="shared" si="9"/>
        <v>0.55555555555555558</v>
      </c>
      <c r="BW51" s="135">
        <f t="shared" si="27"/>
        <v>-0.25</v>
      </c>
    </row>
    <row r="52" spans="1:75" x14ac:dyDescent="0.3">
      <c r="A52" s="48">
        <v>48</v>
      </c>
      <c r="B52" s="16">
        <f t="shared" si="10"/>
        <v>48</v>
      </c>
      <c r="C52" s="69">
        <v>720</v>
      </c>
      <c r="D52" s="70">
        <v>792</v>
      </c>
      <c r="E52" s="65">
        <v>864</v>
      </c>
      <c r="F52" s="66">
        <v>950.4</v>
      </c>
      <c r="G52" s="177">
        <v>720</v>
      </c>
      <c r="H52" s="71">
        <v>792</v>
      </c>
      <c r="I52" s="72">
        <v>2474.5</v>
      </c>
      <c r="J52" s="72">
        <f t="shared" si="28"/>
        <v>158.39999999999998</v>
      </c>
      <c r="K52" s="50">
        <f t="shared" si="29"/>
        <v>0.19999999999999998</v>
      </c>
      <c r="L52" s="100">
        <f t="shared" si="18"/>
        <v>-1.6036405723905722</v>
      </c>
      <c r="M52" s="134">
        <f t="shared" si="19"/>
        <v>0.16666666666666666</v>
      </c>
      <c r="O52" s="28">
        <f t="shared" si="11"/>
        <v>48</v>
      </c>
      <c r="P52" s="53">
        <v>1680</v>
      </c>
      <c r="Q52" s="57">
        <v>1848</v>
      </c>
      <c r="R52" s="177">
        <v>960</v>
      </c>
      <c r="S52" s="188">
        <v>1056</v>
      </c>
      <c r="T52" s="177">
        <v>1200</v>
      </c>
      <c r="U52" s="67">
        <v>1320</v>
      </c>
      <c r="V52" s="11">
        <v>2714.5</v>
      </c>
      <c r="W52" s="72">
        <f t="shared" si="2"/>
        <v>792</v>
      </c>
      <c r="X52" s="135">
        <f t="shared" si="20"/>
        <v>-0.25</v>
      </c>
      <c r="Y52" s="94">
        <f t="shared" si="21"/>
        <v>-1.5705492424242424</v>
      </c>
      <c r="AA52" s="28">
        <f t="shared" si="12"/>
        <v>48</v>
      </c>
      <c r="AB52" s="53">
        <v>1920</v>
      </c>
      <c r="AC52" s="57">
        <v>2112</v>
      </c>
      <c r="AD52" s="177">
        <v>1200</v>
      </c>
      <c r="AE52" s="188">
        <v>1320</v>
      </c>
      <c r="AF52" s="177">
        <v>2400</v>
      </c>
      <c r="AG52" s="67">
        <v>2640</v>
      </c>
      <c r="AH52" s="11">
        <v>2714.5</v>
      </c>
      <c r="AI52" s="72">
        <f t="shared" si="3"/>
        <v>1320</v>
      </c>
      <c r="AJ52" s="139">
        <f t="shared" si="22"/>
        <v>-0.5</v>
      </c>
      <c r="AK52" s="94">
        <f t="shared" si="23"/>
        <v>-0.51372260084730148</v>
      </c>
      <c r="AM52" s="28">
        <f t="shared" si="13"/>
        <v>48</v>
      </c>
      <c r="AN52" s="53">
        <v>3360</v>
      </c>
      <c r="AO52" s="57">
        <v>3696</v>
      </c>
      <c r="AP52" s="177">
        <v>1344</v>
      </c>
      <c r="AQ52" s="188">
        <v>1478.4</v>
      </c>
      <c r="AR52" s="177">
        <v>2640</v>
      </c>
      <c r="AS52" s="67">
        <v>2904</v>
      </c>
      <c r="AT52" s="11">
        <v>3243.75</v>
      </c>
      <c r="AU52" s="72">
        <f t="shared" si="4"/>
        <v>2217.6</v>
      </c>
      <c r="AV52" s="50">
        <f t="shared" si="5"/>
        <v>1.4999999999999998</v>
      </c>
      <c r="AW52" s="139">
        <f t="shared" si="14"/>
        <v>-0.49090909090909091</v>
      </c>
      <c r="AX52" s="94">
        <f t="shared" si="24"/>
        <v>-0.54423121387283235</v>
      </c>
      <c r="AZ52" s="28">
        <f t="shared" si="15"/>
        <v>48</v>
      </c>
      <c r="BA52" s="53">
        <v>3360</v>
      </c>
      <c r="BB52" s="57">
        <v>3696</v>
      </c>
      <c r="BC52" s="177">
        <v>1440</v>
      </c>
      <c r="BD52" s="188">
        <v>1584</v>
      </c>
      <c r="BE52" s="177">
        <v>2400</v>
      </c>
      <c r="BF52" s="67">
        <v>2640</v>
      </c>
      <c r="BG52" s="11">
        <v>3435.75</v>
      </c>
      <c r="BH52" s="72">
        <f t="shared" si="6"/>
        <v>2112</v>
      </c>
      <c r="BI52" s="50">
        <f t="shared" si="7"/>
        <v>1.3333333333333333</v>
      </c>
      <c r="BJ52" s="50">
        <f t="shared" si="25"/>
        <v>-0.53896529142108707</v>
      </c>
      <c r="BK52" s="135">
        <f t="shared" si="16"/>
        <v>-0.4</v>
      </c>
      <c r="BM52" s="28">
        <f t="shared" si="17"/>
        <v>48</v>
      </c>
      <c r="BN52" s="53">
        <v>3360</v>
      </c>
      <c r="BO52" s="57">
        <v>3696</v>
      </c>
      <c r="BP52" s="177">
        <v>2160</v>
      </c>
      <c r="BQ52" s="188">
        <v>2376</v>
      </c>
      <c r="BR52" s="177">
        <v>2880</v>
      </c>
      <c r="BS52" s="67">
        <v>3168</v>
      </c>
      <c r="BT52" s="67">
        <v>4155.75</v>
      </c>
      <c r="BU52" s="72">
        <f t="shared" si="8"/>
        <v>1320</v>
      </c>
      <c r="BV52" s="50">
        <f t="shared" si="9"/>
        <v>0.55555555555555558</v>
      </c>
      <c r="BW52" s="135">
        <f t="shared" si="27"/>
        <v>-0.25</v>
      </c>
    </row>
    <row r="53" spans="1:75" x14ac:dyDescent="0.3">
      <c r="A53" s="48">
        <v>49</v>
      </c>
      <c r="B53" s="16">
        <f t="shared" si="10"/>
        <v>49</v>
      </c>
      <c r="C53" s="69">
        <v>735</v>
      </c>
      <c r="D53" s="70">
        <v>808.5</v>
      </c>
      <c r="E53" s="65">
        <v>882</v>
      </c>
      <c r="F53" s="66">
        <v>970.2</v>
      </c>
      <c r="G53" s="177">
        <v>735</v>
      </c>
      <c r="H53" s="71">
        <v>808.5</v>
      </c>
      <c r="I53" s="72">
        <v>2526</v>
      </c>
      <c r="J53" s="72">
        <f t="shared" si="28"/>
        <v>161.70000000000005</v>
      </c>
      <c r="K53" s="50">
        <f t="shared" si="29"/>
        <v>0.20000000000000007</v>
      </c>
      <c r="L53" s="100">
        <f t="shared" si="18"/>
        <v>-1.6035868893011749</v>
      </c>
      <c r="M53" s="134">
        <f t="shared" si="19"/>
        <v>0.16666666666666671</v>
      </c>
      <c r="O53" s="28">
        <f t="shared" si="11"/>
        <v>49</v>
      </c>
      <c r="P53" s="53">
        <v>1715</v>
      </c>
      <c r="Q53" s="57">
        <v>1886.5</v>
      </c>
      <c r="R53" s="177">
        <v>980</v>
      </c>
      <c r="S53" s="188">
        <v>1078</v>
      </c>
      <c r="T53" s="177">
        <v>1225</v>
      </c>
      <c r="U53" s="67">
        <v>1347.5</v>
      </c>
      <c r="V53" s="11">
        <v>2771</v>
      </c>
      <c r="W53" s="72">
        <f t="shared" si="2"/>
        <v>808.5</v>
      </c>
      <c r="X53" s="135">
        <f t="shared" si="20"/>
        <v>-0.25</v>
      </c>
      <c r="Y53" s="94">
        <f t="shared" si="21"/>
        <v>-1.5705009276437847</v>
      </c>
      <c r="AA53" s="28">
        <f t="shared" si="12"/>
        <v>49</v>
      </c>
      <c r="AB53" s="53">
        <v>1960</v>
      </c>
      <c r="AC53" s="57">
        <v>2156</v>
      </c>
      <c r="AD53" s="177">
        <v>1225</v>
      </c>
      <c r="AE53" s="188">
        <v>1347.5</v>
      </c>
      <c r="AF53" s="177">
        <v>2450</v>
      </c>
      <c r="AG53" s="67">
        <v>2695</v>
      </c>
      <c r="AH53" s="11">
        <v>2771</v>
      </c>
      <c r="AI53" s="72">
        <f t="shared" si="3"/>
        <v>1347.5</v>
      </c>
      <c r="AJ53" s="139">
        <f t="shared" si="22"/>
        <v>-0.5</v>
      </c>
      <c r="AK53" s="94">
        <f t="shared" si="23"/>
        <v>-0.51371346084446046</v>
      </c>
      <c r="AM53" s="28">
        <f t="shared" si="13"/>
        <v>49</v>
      </c>
      <c r="AN53" s="53">
        <v>3430</v>
      </c>
      <c r="AO53" s="57">
        <v>3773</v>
      </c>
      <c r="AP53" s="177">
        <v>1372</v>
      </c>
      <c r="AQ53" s="188">
        <v>1509.2</v>
      </c>
      <c r="AR53" s="177">
        <v>2695</v>
      </c>
      <c r="AS53" s="67">
        <v>2964.5</v>
      </c>
      <c r="AT53" s="11">
        <v>3311.25</v>
      </c>
      <c r="AU53" s="72">
        <f t="shared" si="4"/>
        <v>2263.8000000000002</v>
      </c>
      <c r="AV53" s="50">
        <f t="shared" si="5"/>
        <v>1.5</v>
      </c>
      <c r="AW53" s="139">
        <f t="shared" si="14"/>
        <v>-0.49090909090909091</v>
      </c>
      <c r="AX53" s="94">
        <f t="shared" si="24"/>
        <v>-0.54422046055115136</v>
      </c>
      <c r="AZ53" s="28">
        <f t="shared" si="15"/>
        <v>49</v>
      </c>
      <c r="BA53" s="53">
        <v>3430</v>
      </c>
      <c r="BB53" s="57">
        <v>3773</v>
      </c>
      <c r="BC53" s="177">
        <v>1470</v>
      </c>
      <c r="BD53" s="188">
        <v>1617</v>
      </c>
      <c r="BE53" s="177">
        <v>2450</v>
      </c>
      <c r="BF53" s="67">
        <v>2695</v>
      </c>
      <c r="BG53" s="11">
        <v>3507.25</v>
      </c>
      <c r="BH53" s="72">
        <f t="shared" si="6"/>
        <v>2156</v>
      </c>
      <c r="BI53" s="50">
        <f t="shared" si="7"/>
        <v>1.3333333333333333</v>
      </c>
      <c r="BJ53" s="50">
        <f t="shared" si="25"/>
        <v>-0.53895502174068</v>
      </c>
      <c r="BK53" s="135">
        <f t="shared" si="16"/>
        <v>-0.4</v>
      </c>
      <c r="BM53" s="28">
        <f t="shared" si="17"/>
        <v>49</v>
      </c>
      <c r="BN53" s="53">
        <v>3430</v>
      </c>
      <c r="BO53" s="57">
        <v>3773</v>
      </c>
      <c r="BP53" s="177">
        <v>2205</v>
      </c>
      <c r="BQ53" s="188">
        <v>2425.5</v>
      </c>
      <c r="BR53" s="177">
        <v>2940</v>
      </c>
      <c r="BS53" s="67">
        <v>3234</v>
      </c>
      <c r="BT53" s="67">
        <v>4242.25</v>
      </c>
      <c r="BU53" s="72">
        <f t="shared" si="8"/>
        <v>1347.5</v>
      </c>
      <c r="BV53" s="50">
        <f t="shared" si="9"/>
        <v>0.55555555555555558</v>
      </c>
      <c r="BW53" s="135">
        <f t="shared" si="27"/>
        <v>-0.25</v>
      </c>
    </row>
    <row r="54" spans="1:75" ht="15" thickBot="1" x14ac:dyDescent="0.35">
      <c r="A54" s="178">
        <v>50</v>
      </c>
      <c r="B54" s="101">
        <f t="shared" si="10"/>
        <v>50</v>
      </c>
      <c r="C54" s="179">
        <v>750</v>
      </c>
      <c r="D54" s="180">
        <v>825</v>
      </c>
      <c r="E54" s="181">
        <v>900</v>
      </c>
      <c r="F54" s="182">
        <v>990</v>
      </c>
      <c r="G54" s="183">
        <v>750</v>
      </c>
      <c r="H54" s="184">
        <v>825</v>
      </c>
      <c r="I54" s="185">
        <v>2577.5</v>
      </c>
      <c r="J54" s="185">
        <f t="shared" si="28"/>
        <v>165</v>
      </c>
      <c r="K54" s="129">
        <f t="shared" si="29"/>
        <v>0.2</v>
      </c>
      <c r="L54" s="120">
        <f t="shared" si="18"/>
        <v>-1.6035353535353536</v>
      </c>
      <c r="M54" s="134">
        <f t="shared" si="19"/>
        <v>0.16666666666666666</v>
      </c>
      <c r="O54" s="122">
        <f t="shared" si="11"/>
        <v>50</v>
      </c>
      <c r="P54" s="81">
        <v>1750</v>
      </c>
      <c r="Q54" s="84">
        <v>1925</v>
      </c>
      <c r="R54" s="189">
        <v>1000</v>
      </c>
      <c r="S54" s="190">
        <v>1100</v>
      </c>
      <c r="T54" s="189">
        <v>1250</v>
      </c>
      <c r="U54" s="123">
        <v>1375</v>
      </c>
      <c r="V54" s="38">
        <v>2827.5</v>
      </c>
      <c r="W54" s="73">
        <f t="shared" si="2"/>
        <v>825</v>
      </c>
      <c r="X54" s="137">
        <f t="shared" si="20"/>
        <v>-0.25</v>
      </c>
      <c r="Y54" s="124">
        <f t="shared" si="21"/>
        <v>-1.5704545454545455</v>
      </c>
      <c r="AA54" s="122">
        <f t="shared" si="12"/>
        <v>50</v>
      </c>
      <c r="AB54" s="81">
        <v>2000</v>
      </c>
      <c r="AC54" s="84">
        <v>2200</v>
      </c>
      <c r="AD54" s="189">
        <v>1250</v>
      </c>
      <c r="AE54" s="190">
        <v>1375</v>
      </c>
      <c r="AF54" s="189">
        <v>2500</v>
      </c>
      <c r="AG54" s="123">
        <v>2750</v>
      </c>
      <c r="AH54" s="38">
        <v>2827.5</v>
      </c>
      <c r="AI54" s="73">
        <f t="shared" si="3"/>
        <v>1375</v>
      </c>
      <c r="AJ54" s="140">
        <f t="shared" si="22"/>
        <v>-0.5</v>
      </c>
      <c r="AK54" s="124">
        <f t="shared" si="23"/>
        <v>-0.51370468611847919</v>
      </c>
      <c r="AM54" s="122">
        <f t="shared" si="13"/>
        <v>50</v>
      </c>
      <c r="AN54" s="81">
        <v>3500</v>
      </c>
      <c r="AO54" s="84">
        <v>3850</v>
      </c>
      <c r="AP54" s="189">
        <v>1400</v>
      </c>
      <c r="AQ54" s="190">
        <v>1540</v>
      </c>
      <c r="AR54" s="189">
        <v>2750</v>
      </c>
      <c r="AS54" s="123">
        <v>3025</v>
      </c>
      <c r="AT54" s="38">
        <v>3378.75</v>
      </c>
      <c r="AU54" s="73">
        <f t="shared" si="4"/>
        <v>2310</v>
      </c>
      <c r="AV54" s="75">
        <f t="shared" si="5"/>
        <v>1.5</v>
      </c>
      <c r="AW54" s="140">
        <f t="shared" si="14"/>
        <v>-0.49090909090909091</v>
      </c>
      <c r="AX54" s="124">
        <f t="shared" si="24"/>
        <v>-0.54421013688494269</v>
      </c>
      <c r="AZ54" s="122">
        <f t="shared" si="15"/>
        <v>50</v>
      </c>
      <c r="BA54" s="81">
        <v>3500</v>
      </c>
      <c r="BB54" s="84">
        <v>3850</v>
      </c>
      <c r="BC54" s="189">
        <v>1500</v>
      </c>
      <c r="BD54" s="190">
        <v>1650</v>
      </c>
      <c r="BE54" s="189">
        <v>2500</v>
      </c>
      <c r="BF54" s="123">
        <v>2750</v>
      </c>
      <c r="BG54" s="38">
        <v>3578.75</v>
      </c>
      <c r="BH54" s="73">
        <f t="shared" si="6"/>
        <v>2200</v>
      </c>
      <c r="BI54" s="75">
        <f t="shared" si="7"/>
        <v>1.3333333333333333</v>
      </c>
      <c r="BJ54" s="75">
        <f t="shared" si="25"/>
        <v>-0.53894516241704504</v>
      </c>
      <c r="BK54" s="141">
        <f t="shared" si="16"/>
        <v>-0.4</v>
      </c>
      <c r="BM54" s="122">
        <f t="shared" si="17"/>
        <v>50</v>
      </c>
      <c r="BN54" s="81">
        <v>3500</v>
      </c>
      <c r="BO54" s="84">
        <v>3850</v>
      </c>
      <c r="BP54" s="189">
        <v>2250</v>
      </c>
      <c r="BQ54" s="190">
        <v>2475</v>
      </c>
      <c r="BR54" s="189">
        <v>3000</v>
      </c>
      <c r="BS54" s="123">
        <v>3300</v>
      </c>
      <c r="BT54" s="123">
        <v>4328.75</v>
      </c>
      <c r="BU54" s="73">
        <f t="shared" si="8"/>
        <v>1375</v>
      </c>
      <c r="BV54" s="75">
        <f t="shared" si="9"/>
        <v>0.55555555555555558</v>
      </c>
      <c r="BW54" s="141">
        <f t="shared" si="27"/>
        <v>-0.25</v>
      </c>
    </row>
    <row r="55" spans="1:75" ht="15" thickBot="1" x14ac:dyDescent="0.35">
      <c r="A55" s="223" t="s">
        <v>51</v>
      </c>
      <c r="B55" s="224"/>
      <c r="C55" s="224"/>
      <c r="D55" s="224"/>
      <c r="E55" s="224"/>
      <c r="F55" s="224"/>
      <c r="G55" s="224"/>
      <c r="H55" s="224"/>
      <c r="I55" s="224"/>
      <c r="J55" s="225"/>
      <c r="K55" s="74">
        <f>AVERAGE(K5:K54)</f>
        <v>0.25999999999999973</v>
      </c>
      <c r="L55" s="74">
        <f>AVERAGE(L5:L54)</f>
        <v>-1.608899424816733</v>
      </c>
      <c r="M55" s="132">
        <f>AVERAGE(M7:M54)</f>
        <v>0.16666666666666677</v>
      </c>
      <c r="O55" s="226" t="s">
        <v>51</v>
      </c>
      <c r="P55" s="226"/>
      <c r="Q55" s="226"/>
      <c r="R55" s="226"/>
      <c r="S55" s="226"/>
      <c r="T55" s="226"/>
      <c r="U55" s="226"/>
      <c r="V55" s="226"/>
      <c r="W55" s="227"/>
      <c r="X55" s="132">
        <f>AVERAGE(X5:X54)</f>
        <v>-0.25</v>
      </c>
      <c r="Y55" s="93">
        <f>AVERAGE(Y5:Y54)</f>
        <v>-1.5752822096077874</v>
      </c>
      <c r="AA55" s="226" t="s">
        <v>51</v>
      </c>
      <c r="AB55" s="226"/>
      <c r="AC55" s="226"/>
      <c r="AD55" s="226"/>
      <c r="AE55" s="226"/>
      <c r="AF55" s="226"/>
      <c r="AG55" s="226"/>
      <c r="AH55" s="226"/>
      <c r="AI55" s="227"/>
      <c r="AJ55" s="136">
        <f>AVERAGE(AJ7:AJ54)</f>
        <v>-0.5</v>
      </c>
      <c r="AK55" s="93">
        <f>AVERAGE(AK7:AK54)</f>
        <v>-0.5146126323459862</v>
      </c>
      <c r="AM55" s="226" t="s">
        <v>51</v>
      </c>
      <c r="AN55" s="226"/>
      <c r="AO55" s="226"/>
      <c r="AP55" s="226"/>
      <c r="AQ55" s="226"/>
      <c r="AR55" s="226"/>
      <c r="AS55" s="226"/>
      <c r="AT55" s="226"/>
      <c r="AU55" s="227"/>
      <c r="AV55" s="93">
        <f>AVERAGE(AV5:AV54)</f>
        <v>1.4638787878787878</v>
      </c>
      <c r="AW55" s="132">
        <f>AVERAGE(AW7:AW54)</f>
        <v>-0.49090909090909113</v>
      </c>
      <c r="AX55" s="74">
        <f>AVERAGE(AX7:AX54)</f>
        <v>-0.54527676327365893</v>
      </c>
      <c r="AZ55" s="226" t="s">
        <v>51</v>
      </c>
      <c r="BA55" s="226"/>
      <c r="BB55" s="226"/>
      <c r="BC55" s="226"/>
      <c r="BD55" s="226"/>
      <c r="BE55" s="226"/>
      <c r="BF55" s="226"/>
      <c r="BG55" s="226"/>
      <c r="BH55" s="227"/>
      <c r="BI55" s="93">
        <f>AVERAGE(BI5:BI54)</f>
        <v>1.307111111111112</v>
      </c>
      <c r="BJ55" s="128">
        <f>AVERAGE(BJ5:BJ54)</f>
        <v>-0.5399642310140208</v>
      </c>
      <c r="BK55" s="132">
        <f>AVERAGE(BK5:BK54)</f>
        <v>-0.39999999999999991</v>
      </c>
      <c r="BM55" s="223" t="s">
        <v>51</v>
      </c>
      <c r="BN55" s="224"/>
      <c r="BO55" s="224"/>
      <c r="BP55" s="224"/>
      <c r="BQ55" s="224"/>
      <c r="BR55" s="224"/>
      <c r="BS55" s="224"/>
      <c r="BT55" s="224"/>
      <c r="BU55" s="225"/>
      <c r="BV55" s="93">
        <f>AVERAGE(BV5:BV54)</f>
        <v>0.56166666666666731</v>
      </c>
      <c r="BW55" s="136">
        <f>AVERAGE(BW5:BW54)</f>
        <v>-0.25</v>
      </c>
    </row>
    <row r="56" spans="1:75" ht="15" thickBot="1" x14ac:dyDescent="0.35"/>
    <row r="57" spans="1:75" ht="15" thickBot="1" x14ac:dyDescent="0.35">
      <c r="A57" s="220" t="s">
        <v>1</v>
      </c>
      <c r="B57" s="221"/>
      <c r="C57" s="221"/>
      <c r="D57" s="221"/>
      <c r="E57" s="221"/>
      <c r="F57" s="221"/>
      <c r="G57" s="221"/>
      <c r="H57" s="221"/>
      <c r="I57" s="221"/>
      <c r="J57" s="222"/>
      <c r="K57" s="191"/>
      <c r="L57" s="191"/>
      <c r="M57" s="47"/>
      <c r="O57" s="220" t="s">
        <v>2</v>
      </c>
      <c r="P57" s="221"/>
      <c r="Q57" s="221"/>
      <c r="R57" s="221"/>
      <c r="S57" s="221"/>
      <c r="T57" s="221"/>
      <c r="U57" s="221"/>
      <c r="V57" s="221"/>
      <c r="W57" s="222"/>
      <c r="X57" s="191"/>
      <c r="Y57" s="191"/>
      <c r="AA57" s="220" t="s">
        <v>3</v>
      </c>
      <c r="AB57" s="221"/>
      <c r="AC57" s="221"/>
      <c r="AD57" s="221"/>
      <c r="AE57" s="221"/>
      <c r="AF57" s="221"/>
      <c r="AG57" s="221"/>
      <c r="AH57" s="221"/>
      <c r="AI57" s="222"/>
      <c r="AJ57" s="191"/>
      <c r="AK57" s="191"/>
      <c r="AM57" s="220" t="s">
        <v>8</v>
      </c>
      <c r="AN57" s="221"/>
      <c r="AO57" s="221"/>
      <c r="AP57" s="221"/>
      <c r="AQ57" s="221"/>
      <c r="AR57" s="221"/>
      <c r="AS57" s="221"/>
      <c r="AT57" s="221"/>
      <c r="AU57" s="222"/>
      <c r="AV57" s="191"/>
      <c r="AW57" s="191"/>
      <c r="AX57" s="191"/>
      <c r="AZ57" s="220" t="s">
        <v>4</v>
      </c>
      <c r="BA57" s="221"/>
      <c r="BB57" s="221"/>
      <c r="BC57" s="221"/>
      <c r="BD57" s="221"/>
      <c r="BE57" s="221"/>
      <c r="BF57" s="221"/>
      <c r="BG57" s="221"/>
      <c r="BH57" s="222"/>
      <c r="BI57" s="191"/>
      <c r="BJ57" s="191"/>
      <c r="BM57" s="220" t="s">
        <v>7</v>
      </c>
      <c r="BN57" s="221"/>
      <c r="BO57" s="221"/>
      <c r="BP57" s="221"/>
      <c r="BQ57" s="221"/>
      <c r="BR57" s="221"/>
      <c r="BS57" s="221"/>
      <c r="BT57" s="221"/>
      <c r="BU57" s="222"/>
    </row>
    <row r="58" spans="1:75" ht="15" thickBot="1" x14ac:dyDescent="0.35">
      <c r="A58" s="220" t="s">
        <v>52</v>
      </c>
      <c r="B58" s="221"/>
      <c r="C58" s="221"/>
      <c r="D58" s="221"/>
      <c r="E58" s="221"/>
      <c r="F58" s="221"/>
      <c r="G58" s="221"/>
      <c r="H58" s="221"/>
      <c r="I58" s="221"/>
      <c r="J58" s="222"/>
      <c r="K58" s="191"/>
      <c r="L58" s="191"/>
      <c r="M58" s="47"/>
      <c r="O58" s="220" t="s">
        <v>52</v>
      </c>
      <c r="P58" s="221"/>
      <c r="Q58" s="221"/>
      <c r="R58" s="221"/>
      <c r="S58" s="221"/>
      <c r="T58" s="221"/>
      <c r="U58" s="221"/>
      <c r="V58" s="221"/>
      <c r="W58" s="222"/>
      <c r="X58" s="191"/>
      <c r="Y58" s="191"/>
      <c r="AA58" s="220" t="s">
        <v>52</v>
      </c>
      <c r="AB58" s="221"/>
      <c r="AC58" s="221"/>
      <c r="AD58" s="221"/>
      <c r="AE58" s="221"/>
      <c r="AF58" s="221"/>
      <c r="AG58" s="221"/>
      <c r="AH58" s="221"/>
      <c r="AI58" s="222"/>
      <c r="AJ58" s="191"/>
      <c r="AK58" s="191"/>
      <c r="AM58" s="220" t="s">
        <v>52</v>
      </c>
      <c r="AN58" s="221"/>
      <c r="AO58" s="221"/>
      <c r="AP58" s="221"/>
      <c r="AQ58" s="221"/>
      <c r="AR58" s="221"/>
      <c r="AS58" s="221"/>
      <c r="AT58" s="221"/>
      <c r="AU58" s="222"/>
      <c r="AV58" s="191"/>
      <c r="AW58" s="191"/>
      <c r="AX58" s="191"/>
      <c r="AZ58" s="220" t="s">
        <v>52</v>
      </c>
      <c r="BA58" s="221"/>
      <c r="BB58" s="221"/>
      <c r="BC58" s="221"/>
      <c r="BD58" s="221"/>
      <c r="BE58" s="221"/>
      <c r="BF58" s="221"/>
      <c r="BG58" s="221"/>
      <c r="BH58" s="222"/>
      <c r="BI58" s="191"/>
      <c r="BJ58" s="191"/>
      <c r="BM58" s="220" t="s">
        <v>52</v>
      </c>
      <c r="BN58" s="221"/>
      <c r="BO58" s="221"/>
      <c r="BP58" s="221"/>
      <c r="BQ58" s="221"/>
      <c r="BR58" s="221"/>
      <c r="BS58" s="221"/>
      <c r="BT58" s="221"/>
      <c r="BU58" s="222"/>
    </row>
    <row r="59" spans="1:75" ht="58.2" thickBot="1" x14ac:dyDescent="0.35">
      <c r="A59" s="54" t="s">
        <v>0</v>
      </c>
      <c r="B59" s="51" t="s">
        <v>22</v>
      </c>
      <c r="C59" s="52" t="s">
        <v>34</v>
      </c>
      <c r="D59" s="52" t="s">
        <v>18</v>
      </c>
      <c r="E59" s="51" t="s">
        <v>44</v>
      </c>
      <c r="F59" s="52" t="s">
        <v>18</v>
      </c>
      <c r="G59" s="52" t="s">
        <v>41</v>
      </c>
      <c r="H59" s="55" t="s">
        <v>50</v>
      </c>
      <c r="I59" s="51" t="s">
        <v>46</v>
      </c>
      <c r="J59" s="56" t="s">
        <v>47</v>
      </c>
      <c r="K59" s="17"/>
      <c r="L59" s="17"/>
      <c r="M59" s="17"/>
      <c r="O59" s="193" t="s">
        <v>22</v>
      </c>
      <c r="P59" s="52" t="s">
        <v>34</v>
      </c>
      <c r="Q59" s="52" t="s">
        <v>18</v>
      </c>
      <c r="R59" s="51" t="s">
        <v>44</v>
      </c>
      <c r="S59" s="52" t="s">
        <v>18</v>
      </c>
      <c r="T59" s="52" t="s">
        <v>41</v>
      </c>
      <c r="U59" s="55" t="s">
        <v>50</v>
      </c>
      <c r="V59" s="51" t="s">
        <v>46</v>
      </c>
      <c r="W59" s="56" t="s">
        <v>47</v>
      </c>
      <c r="X59" s="17"/>
      <c r="Y59" s="17"/>
      <c r="AA59" s="193" t="s">
        <v>22</v>
      </c>
      <c r="AB59" s="52" t="s">
        <v>34</v>
      </c>
      <c r="AC59" s="52" t="s">
        <v>18</v>
      </c>
      <c r="AD59" s="51" t="s">
        <v>44</v>
      </c>
      <c r="AE59" s="52" t="s">
        <v>18</v>
      </c>
      <c r="AF59" s="52" t="s">
        <v>41</v>
      </c>
      <c r="AG59" s="55" t="s">
        <v>50</v>
      </c>
      <c r="AH59" s="51" t="s">
        <v>46</v>
      </c>
      <c r="AI59" s="56" t="s">
        <v>47</v>
      </c>
      <c r="AJ59" s="17"/>
      <c r="AK59" s="17"/>
      <c r="AM59" s="193" t="s">
        <v>22</v>
      </c>
      <c r="AN59" s="52" t="s">
        <v>34</v>
      </c>
      <c r="AO59" s="52" t="s">
        <v>18</v>
      </c>
      <c r="AP59" s="51" t="s">
        <v>44</v>
      </c>
      <c r="AQ59" s="52" t="s">
        <v>18</v>
      </c>
      <c r="AR59" s="52" t="s">
        <v>41</v>
      </c>
      <c r="AS59" s="55" t="s">
        <v>50</v>
      </c>
      <c r="AT59" s="51" t="s">
        <v>46</v>
      </c>
      <c r="AU59" s="56" t="s">
        <v>47</v>
      </c>
      <c r="AV59" s="17"/>
      <c r="AW59" s="17"/>
      <c r="AX59" s="17"/>
      <c r="AZ59" s="193" t="s">
        <v>22</v>
      </c>
      <c r="BA59" s="52" t="s">
        <v>34</v>
      </c>
      <c r="BB59" s="52" t="s">
        <v>18</v>
      </c>
      <c r="BC59" s="51" t="s">
        <v>44</v>
      </c>
      <c r="BD59" s="52" t="s">
        <v>18</v>
      </c>
      <c r="BE59" s="52" t="s">
        <v>41</v>
      </c>
      <c r="BF59" s="55" t="s">
        <v>50</v>
      </c>
      <c r="BG59" s="51" t="s">
        <v>46</v>
      </c>
      <c r="BH59" s="56" t="s">
        <v>47</v>
      </c>
      <c r="BI59" s="17"/>
      <c r="BJ59" s="17"/>
      <c r="BM59" s="193" t="s">
        <v>22</v>
      </c>
      <c r="BN59" s="52" t="s">
        <v>34</v>
      </c>
      <c r="BO59" s="52" t="s">
        <v>18</v>
      </c>
      <c r="BP59" s="51" t="s">
        <v>44</v>
      </c>
      <c r="BQ59" s="52" t="s">
        <v>18</v>
      </c>
      <c r="BR59" s="52" t="s">
        <v>41</v>
      </c>
      <c r="BS59" s="55" t="s">
        <v>50</v>
      </c>
      <c r="BT59" s="51" t="s">
        <v>46</v>
      </c>
      <c r="BU59" s="56" t="s">
        <v>47</v>
      </c>
    </row>
    <row r="60" spans="1:75" ht="15" thickBot="1" x14ac:dyDescent="0.35">
      <c r="A60" s="58"/>
      <c r="B60" s="102">
        <v>0.1</v>
      </c>
      <c r="C60" s="59">
        <v>8</v>
      </c>
      <c r="D60" s="59">
        <f>C60 + 10%*C60</f>
        <v>8.8000000000000007</v>
      </c>
      <c r="E60" s="59">
        <v>15</v>
      </c>
      <c r="F60" s="79">
        <f>E60+10%*E60</f>
        <v>16.5</v>
      </c>
      <c r="G60" s="61">
        <v>10</v>
      </c>
      <c r="H60" s="80">
        <f>G60 +10%*G60</f>
        <v>11</v>
      </c>
      <c r="I60" s="68">
        <f>MAX(C60, E60, G60) - MIN(C60, E60, G60)</f>
        <v>7</v>
      </c>
      <c r="J60" s="76">
        <f>I60/MIN(C60, E60, G60)</f>
        <v>0.875</v>
      </c>
      <c r="K60" s="192"/>
      <c r="O60" s="194">
        <v>0.1</v>
      </c>
      <c r="P60" s="59">
        <v>15</v>
      </c>
      <c r="Q60" s="59">
        <f>P60 + 10%*P60</f>
        <v>16.5</v>
      </c>
      <c r="R60" s="59">
        <v>16</v>
      </c>
      <c r="S60" s="79">
        <f>R60+10%*R60</f>
        <v>17.600000000000001</v>
      </c>
      <c r="T60" s="61">
        <v>13</v>
      </c>
      <c r="U60" s="80">
        <f>T60 +10%*T60</f>
        <v>14.3</v>
      </c>
      <c r="V60" s="68">
        <f>MAX(P60, R60, T60) - MIN(P60, R60, T60)</f>
        <v>3</v>
      </c>
      <c r="W60" s="76">
        <f>V60/MIN(P60, R60, T60)</f>
        <v>0.23076923076923078</v>
      </c>
      <c r="X60" s="192"/>
      <c r="AA60" s="194">
        <v>0.1</v>
      </c>
      <c r="AB60" s="59">
        <v>20</v>
      </c>
      <c r="AC60" s="59">
        <f>AB60 + 10%*AB60</f>
        <v>22</v>
      </c>
      <c r="AD60" s="59">
        <v>20.5</v>
      </c>
      <c r="AE60" s="61">
        <f>AD60+10%*AD60</f>
        <v>22.55</v>
      </c>
      <c r="AF60" s="61">
        <v>20</v>
      </c>
      <c r="AG60" s="80">
        <f>AF60 +10%*AF60</f>
        <v>22</v>
      </c>
      <c r="AH60" s="68">
        <f>MAX(AB60, AD60, AF60) - MIN(AB60, AD60, AF60)</f>
        <v>0.5</v>
      </c>
      <c r="AI60" s="76">
        <f>AH60/MIN(AB60, AD60, AF60)</f>
        <v>2.5000000000000001E-2</v>
      </c>
      <c r="AJ60" s="192"/>
      <c r="AM60" s="194">
        <v>0.1</v>
      </c>
      <c r="AN60" s="59">
        <v>35</v>
      </c>
      <c r="AO60" s="60">
        <f>AN60 + 10%*AN60</f>
        <v>38.5</v>
      </c>
      <c r="AP60" s="59">
        <v>33.5</v>
      </c>
      <c r="AQ60" s="88">
        <f>AP60+10%*AP60</f>
        <v>36.85</v>
      </c>
      <c r="AR60" s="61">
        <v>20</v>
      </c>
      <c r="AS60" s="85">
        <f>AR60 +10%*AR60</f>
        <v>22</v>
      </c>
      <c r="AT60" s="68">
        <f>MAX(AN60, AP60, AR60) - MIN(AN60, AP60, AR60)</f>
        <v>15</v>
      </c>
      <c r="AU60" s="76">
        <f>AT60/MIN(AN60, AP60, AR60)</f>
        <v>0.75</v>
      </c>
      <c r="AV60" s="192"/>
      <c r="AW60" s="192"/>
      <c r="AZ60" s="194">
        <v>0.1</v>
      </c>
      <c r="BA60" s="59">
        <v>35</v>
      </c>
      <c r="BB60" s="59">
        <f>BA60 + 10%*BA60</f>
        <v>38.5</v>
      </c>
      <c r="BC60" s="59">
        <v>36.5</v>
      </c>
      <c r="BD60" s="61">
        <f>BC60+10%*BC60</f>
        <v>40.15</v>
      </c>
      <c r="BE60" s="61">
        <v>25</v>
      </c>
      <c r="BF60" s="80">
        <f>BE60 +10%*BE60</f>
        <v>27.5</v>
      </c>
      <c r="BG60" s="68">
        <f>MAX(BA60, BC60, BE60) - MIN(BA60, BC60, BE60)</f>
        <v>11.5</v>
      </c>
      <c r="BH60" s="76">
        <f>BG60/MIN(BA60, BC60, BE60)</f>
        <v>0.46</v>
      </c>
      <c r="BI60" s="192"/>
      <c r="BM60" s="194">
        <v>0.1</v>
      </c>
      <c r="BN60" s="59">
        <v>35</v>
      </c>
      <c r="BO60" s="59">
        <f>BN60 + 10%*BN60</f>
        <v>38.5</v>
      </c>
      <c r="BP60" s="59">
        <v>43</v>
      </c>
      <c r="BQ60" s="61">
        <f>BP60+BP60*10%</f>
        <v>47.3</v>
      </c>
      <c r="BR60" s="61">
        <v>60</v>
      </c>
      <c r="BS60" s="80">
        <f>BR60 +10%*BR60</f>
        <v>66</v>
      </c>
      <c r="BT60" s="68">
        <f>MAX(BN60, BP60, BR60) - MIN(BN60, BP60, BR60)</f>
        <v>25</v>
      </c>
      <c r="BU60" s="76">
        <f>BT60/MIN(BN60, BP60, BR60)</f>
        <v>0.7142857142857143</v>
      </c>
    </row>
    <row r="61" spans="1:75" ht="15" thickBot="1" x14ac:dyDescent="0.35">
      <c r="A61" s="48"/>
      <c r="B61" s="103">
        <v>0.25</v>
      </c>
      <c r="C61" s="53">
        <v>10</v>
      </c>
      <c r="D61" s="53">
        <f t="shared" ref="D61:D63" si="30">C61 + 10%*C61</f>
        <v>11</v>
      </c>
      <c r="E61" s="53">
        <v>15.5</v>
      </c>
      <c r="F61" s="77">
        <f t="shared" ref="F61:F63" si="31">E61+10%*E61</f>
        <v>17.05</v>
      </c>
      <c r="G61" s="49">
        <v>12</v>
      </c>
      <c r="H61" s="78">
        <f t="shared" ref="H61:H63" si="32">G61 +10%*G61</f>
        <v>13.2</v>
      </c>
      <c r="I61" s="72">
        <f>MAX(C61, E61, G61) - MIN(C61, E61, G61)</f>
        <v>5.5</v>
      </c>
      <c r="J61" s="94">
        <f>I61/MIN(C61, E61, G61)</f>
        <v>0.55000000000000004</v>
      </c>
      <c r="K61" s="192"/>
      <c r="O61" s="195">
        <v>0.25</v>
      </c>
      <c r="P61" s="53">
        <v>20</v>
      </c>
      <c r="Q61" s="53">
        <f t="shared" ref="Q61:Q63" si="33">P61 + 10%*P61</f>
        <v>22</v>
      </c>
      <c r="R61" s="53">
        <v>16.5</v>
      </c>
      <c r="S61" s="77">
        <f t="shared" ref="S61:S63" si="34">R61+10%*R61</f>
        <v>18.149999999999999</v>
      </c>
      <c r="T61" s="49">
        <v>20</v>
      </c>
      <c r="U61" s="78">
        <f t="shared" ref="U61:U63" si="35">T61 +10%*T61</f>
        <v>22</v>
      </c>
      <c r="V61" s="72">
        <f t="shared" ref="V61:V63" si="36">MAX(P61, R61, T61) - MIN(P61, R61, T61)</f>
        <v>3.5</v>
      </c>
      <c r="W61" s="94">
        <f t="shared" ref="W61:W63" si="37">V61/MIN(P61, R61, T61)</f>
        <v>0.21212121212121213</v>
      </c>
      <c r="X61" s="192"/>
      <c r="AA61" s="195">
        <v>0.25</v>
      </c>
      <c r="AB61" s="53">
        <v>25</v>
      </c>
      <c r="AC61" s="53">
        <f t="shared" ref="AC61:AC63" si="38">AB61 + 10%*AB61</f>
        <v>27.5</v>
      </c>
      <c r="AD61" s="53">
        <v>22</v>
      </c>
      <c r="AE61" s="49">
        <f t="shared" ref="AE61:AE63" si="39">AD61+10%*AD61</f>
        <v>24.2</v>
      </c>
      <c r="AF61" s="49">
        <v>25</v>
      </c>
      <c r="AG61" s="78">
        <f t="shared" ref="AG61:AG63" si="40">AF61 +10%*AF61</f>
        <v>27.5</v>
      </c>
      <c r="AH61" s="72">
        <f t="shared" ref="AH61:AH63" si="41">MAX(AB61, AD61, AF61) - MIN(AB61, AD61, AF61)</f>
        <v>3</v>
      </c>
      <c r="AI61" s="94">
        <f t="shared" ref="AI61:AI63" si="42">AH61/MIN(AB61, AD61, AF61)</f>
        <v>0.13636363636363635</v>
      </c>
      <c r="AJ61" s="192"/>
      <c r="AM61" s="195">
        <v>0.25</v>
      </c>
      <c r="AN61" s="53">
        <v>40</v>
      </c>
      <c r="AO61" s="57">
        <f t="shared" ref="AO61:AO63" si="43">AN61 + 10%*AN61</f>
        <v>44</v>
      </c>
      <c r="AP61" s="53">
        <v>35.5</v>
      </c>
      <c r="AQ61" s="89">
        <f t="shared" ref="AQ61:AQ63" si="44">AP61+10%*AP61</f>
        <v>39.049999999999997</v>
      </c>
      <c r="AR61" s="49">
        <v>25</v>
      </c>
      <c r="AS61" s="86">
        <f t="shared" ref="AS61:AS63" si="45">AR61 +10%*AR61</f>
        <v>27.5</v>
      </c>
      <c r="AT61" s="72">
        <f t="shared" ref="AT61:AT63" si="46">MAX(AN61, AP61, AR61) - MIN(AN61, AP61, AR61)</f>
        <v>15</v>
      </c>
      <c r="AU61" s="94">
        <f t="shared" ref="AU61:AU63" si="47">AT61/MIN(AN61, AP61, AR61)</f>
        <v>0.6</v>
      </c>
      <c r="AV61" s="192"/>
      <c r="AW61" s="192"/>
      <c r="AZ61" s="195">
        <v>0.25</v>
      </c>
      <c r="BA61" s="53">
        <v>40</v>
      </c>
      <c r="BB61" s="53">
        <f t="shared" ref="BB61:BB63" si="48">BA61 + 10%*BA61</f>
        <v>44</v>
      </c>
      <c r="BC61" s="53">
        <v>39.5</v>
      </c>
      <c r="BD61" s="49">
        <f t="shared" ref="BD61:BD63" si="49">BC61+10%*BC61</f>
        <v>43.45</v>
      </c>
      <c r="BE61" s="49">
        <v>30</v>
      </c>
      <c r="BF61" s="78">
        <f t="shared" ref="BF61:BF63" si="50">BE61 +10%*BE61</f>
        <v>33</v>
      </c>
      <c r="BG61" s="72">
        <f t="shared" ref="BG61:BG63" si="51">MAX(BA61, BC61, BE61) - MIN(BA61, BC61, BE61)</f>
        <v>10</v>
      </c>
      <c r="BH61" s="94">
        <f t="shared" ref="BH61:BH63" si="52">BG61/MIN(BA61, BC61, BE61)</f>
        <v>0.33333333333333331</v>
      </c>
      <c r="BI61" s="192"/>
      <c r="BM61" s="195">
        <v>0.25</v>
      </c>
      <c r="BN61" s="53">
        <v>40</v>
      </c>
      <c r="BO61" s="53">
        <f t="shared" ref="BO61:BO63" si="53">BN61 + 10%*BN61</f>
        <v>44</v>
      </c>
      <c r="BP61" s="53">
        <v>45.5</v>
      </c>
      <c r="BQ61" s="61">
        <f t="shared" ref="BQ61:BQ63" si="54">BP61+BP61*10%</f>
        <v>50.05</v>
      </c>
      <c r="BR61" s="49">
        <v>60</v>
      </c>
      <c r="BS61" s="80">
        <f t="shared" ref="BS61:BS63" si="55">BR61 +10%*BR61</f>
        <v>66</v>
      </c>
      <c r="BT61" s="68">
        <f>MAX(BN61, BP61, BR61) - MIN(BN61, BP61, BR61)</f>
        <v>20</v>
      </c>
      <c r="BU61" s="94">
        <f t="shared" ref="BU61:BU63" si="56">BT61/MIN(BN61, BP61, BR61)</f>
        <v>0.5</v>
      </c>
    </row>
    <row r="62" spans="1:75" ht="15" thickBot="1" x14ac:dyDescent="0.35">
      <c r="A62" s="48"/>
      <c r="B62" s="103">
        <v>0.5</v>
      </c>
      <c r="C62" s="53">
        <v>13</v>
      </c>
      <c r="D62" s="53">
        <f t="shared" si="30"/>
        <v>14.3</v>
      </c>
      <c r="E62" s="53">
        <v>16</v>
      </c>
      <c r="F62" s="77">
        <f t="shared" si="31"/>
        <v>17.600000000000001</v>
      </c>
      <c r="G62" s="49">
        <v>15</v>
      </c>
      <c r="H62" s="78">
        <f t="shared" si="32"/>
        <v>16.5</v>
      </c>
      <c r="I62" s="72">
        <f>MAX(C62, E62, G62) - MIN(C62, E62, G62)</f>
        <v>3</v>
      </c>
      <c r="J62" s="94">
        <f>I62/MIN(C62, E62, G62)</f>
        <v>0.23076923076923078</v>
      </c>
      <c r="K62" s="192"/>
      <c r="O62" s="195">
        <v>0.5</v>
      </c>
      <c r="P62" s="53">
        <v>25</v>
      </c>
      <c r="Q62" s="53">
        <f t="shared" si="33"/>
        <v>27.5</v>
      </c>
      <c r="R62" s="53">
        <v>17</v>
      </c>
      <c r="S62" s="77">
        <f t="shared" si="34"/>
        <v>18.7</v>
      </c>
      <c r="T62" s="49">
        <v>25</v>
      </c>
      <c r="U62" s="78">
        <f t="shared" si="35"/>
        <v>27.5</v>
      </c>
      <c r="V62" s="72">
        <f t="shared" si="36"/>
        <v>8</v>
      </c>
      <c r="W62" s="94">
        <f t="shared" si="37"/>
        <v>0.47058823529411764</v>
      </c>
      <c r="X62" s="192"/>
      <c r="AA62" s="195">
        <v>0.5</v>
      </c>
      <c r="AB62" s="53">
        <v>30</v>
      </c>
      <c r="AC62" s="53">
        <f t="shared" si="38"/>
        <v>33</v>
      </c>
      <c r="AD62" s="53">
        <v>23</v>
      </c>
      <c r="AE62" s="49">
        <f t="shared" si="39"/>
        <v>25.3</v>
      </c>
      <c r="AF62" s="49">
        <v>30</v>
      </c>
      <c r="AG62" s="78">
        <f t="shared" si="40"/>
        <v>33</v>
      </c>
      <c r="AH62" s="72">
        <f t="shared" si="41"/>
        <v>7</v>
      </c>
      <c r="AI62" s="94">
        <f t="shared" si="42"/>
        <v>0.30434782608695654</v>
      </c>
      <c r="AJ62" s="192"/>
      <c r="AM62" s="195">
        <v>0.5</v>
      </c>
      <c r="AN62" s="53">
        <v>50</v>
      </c>
      <c r="AO62" s="57">
        <f t="shared" si="43"/>
        <v>55</v>
      </c>
      <c r="AP62" s="53">
        <v>45</v>
      </c>
      <c r="AQ62" s="89">
        <f t="shared" si="44"/>
        <v>49.5</v>
      </c>
      <c r="AR62" s="49">
        <v>30</v>
      </c>
      <c r="AS62" s="86">
        <f t="shared" si="45"/>
        <v>33</v>
      </c>
      <c r="AT62" s="72">
        <f t="shared" si="46"/>
        <v>20</v>
      </c>
      <c r="AU62" s="94">
        <f t="shared" si="47"/>
        <v>0.66666666666666663</v>
      </c>
      <c r="AV62" s="192"/>
      <c r="AW62" s="192"/>
      <c r="AZ62" s="195">
        <v>0.5</v>
      </c>
      <c r="BA62" s="53">
        <v>50</v>
      </c>
      <c r="BB62" s="53">
        <f t="shared" si="48"/>
        <v>55</v>
      </c>
      <c r="BC62" s="53">
        <v>50</v>
      </c>
      <c r="BD62" s="49">
        <f t="shared" si="49"/>
        <v>55</v>
      </c>
      <c r="BE62" s="49">
        <v>35</v>
      </c>
      <c r="BF62" s="78">
        <f t="shared" si="50"/>
        <v>38.5</v>
      </c>
      <c r="BG62" s="72">
        <f t="shared" si="51"/>
        <v>15</v>
      </c>
      <c r="BH62" s="94">
        <f t="shared" si="52"/>
        <v>0.42857142857142855</v>
      </c>
      <c r="BI62" s="192"/>
      <c r="BM62" s="195">
        <v>0.5</v>
      </c>
      <c r="BN62" s="53">
        <v>50</v>
      </c>
      <c r="BO62" s="53">
        <f t="shared" si="53"/>
        <v>55</v>
      </c>
      <c r="BP62" s="53">
        <v>65</v>
      </c>
      <c r="BQ62" s="61">
        <f t="shared" si="54"/>
        <v>71.5</v>
      </c>
      <c r="BR62" s="49">
        <v>60</v>
      </c>
      <c r="BS62" s="80">
        <f t="shared" si="55"/>
        <v>66</v>
      </c>
      <c r="BT62" s="72">
        <f t="shared" ref="BT62:BT63" si="57">MAX(BN62, BP62, BR62) - MIN(BN62, BP62, BR62)</f>
        <v>15</v>
      </c>
      <c r="BU62" s="94">
        <f t="shared" si="56"/>
        <v>0.3</v>
      </c>
    </row>
    <row r="63" spans="1:75" ht="15" thickBot="1" x14ac:dyDescent="0.35">
      <c r="A63" s="63"/>
      <c r="B63" s="104">
        <v>1</v>
      </c>
      <c r="C63" s="38">
        <v>15</v>
      </c>
      <c r="D63" s="81">
        <f t="shared" si="30"/>
        <v>16.5</v>
      </c>
      <c r="E63" s="38">
        <f>E62 + 9.5</f>
        <v>25.5</v>
      </c>
      <c r="F63" s="82">
        <f t="shared" si="31"/>
        <v>28.05</v>
      </c>
      <c r="G63" s="6">
        <v>25</v>
      </c>
      <c r="H63" s="83">
        <f t="shared" si="32"/>
        <v>27.5</v>
      </c>
      <c r="I63" s="73">
        <f>MAX(C63, E63, G63) - MIN(C63, E63, G63)</f>
        <v>10.5</v>
      </c>
      <c r="J63" s="124">
        <f>I63/MIN(C63, E63, G63)</f>
        <v>0.7</v>
      </c>
      <c r="K63" s="192"/>
      <c r="O63" s="196">
        <v>1</v>
      </c>
      <c r="P63" s="38">
        <v>30</v>
      </c>
      <c r="Q63" s="81">
        <f t="shared" si="33"/>
        <v>33</v>
      </c>
      <c r="R63" s="38">
        <f>R62 + 10.5</f>
        <v>27.5</v>
      </c>
      <c r="S63" s="82">
        <f t="shared" si="34"/>
        <v>30.25</v>
      </c>
      <c r="T63" s="6">
        <v>35</v>
      </c>
      <c r="U63" s="83">
        <f t="shared" si="35"/>
        <v>38.5</v>
      </c>
      <c r="V63" s="73">
        <f t="shared" si="36"/>
        <v>7.5</v>
      </c>
      <c r="W63" s="124">
        <f t="shared" si="37"/>
        <v>0.27272727272727271</v>
      </c>
      <c r="X63" s="192"/>
      <c r="AA63" s="196">
        <v>1</v>
      </c>
      <c r="AB63" s="38">
        <v>35</v>
      </c>
      <c r="AC63" s="81">
        <f t="shared" si="38"/>
        <v>38.5</v>
      </c>
      <c r="AD63" s="38">
        <f>AD62 +17</f>
        <v>40</v>
      </c>
      <c r="AE63" s="91">
        <f t="shared" si="39"/>
        <v>44</v>
      </c>
      <c r="AF63" s="6">
        <v>45</v>
      </c>
      <c r="AG63" s="83">
        <f t="shared" si="40"/>
        <v>49.5</v>
      </c>
      <c r="AH63" s="73">
        <f t="shared" si="41"/>
        <v>10</v>
      </c>
      <c r="AI63" s="124">
        <f t="shared" si="42"/>
        <v>0.2857142857142857</v>
      </c>
      <c r="AJ63" s="192"/>
      <c r="AM63" s="196">
        <v>1</v>
      </c>
      <c r="AN63" s="38">
        <v>65</v>
      </c>
      <c r="AO63" s="84">
        <f t="shared" si="43"/>
        <v>71.5</v>
      </c>
      <c r="AP63" s="38">
        <f>AP62+30</f>
        <v>75</v>
      </c>
      <c r="AQ63" s="90">
        <f t="shared" si="44"/>
        <v>82.5</v>
      </c>
      <c r="AR63" s="6">
        <v>45</v>
      </c>
      <c r="AS63" s="87">
        <f t="shared" si="45"/>
        <v>49.5</v>
      </c>
      <c r="AT63" s="73">
        <f t="shared" si="46"/>
        <v>30</v>
      </c>
      <c r="AU63" s="124">
        <f t="shared" si="47"/>
        <v>0.66666666666666663</v>
      </c>
      <c r="AV63" s="192"/>
      <c r="AW63" s="192"/>
      <c r="AZ63" s="196">
        <v>1</v>
      </c>
      <c r="BA63" s="38">
        <v>65</v>
      </c>
      <c r="BB63" s="81">
        <f t="shared" si="48"/>
        <v>71.5</v>
      </c>
      <c r="BC63" s="38">
        <f>BC62+35</f>
        <v>85</v>
      </c>
      <c r="BD63" s="91">
        <f t="shared" si="49"/>
        <v>93.5</v>
      </c>
      <c r="BE63" s="6">
        <v>50</v>
      </c>
      <c r="BF63" s="83">
        <f t="shared" si="50"/>
        <v>55</v>
      </c>
      <c r="BG63" s="73">
        <f t="shared" si="51"/>
        <v>35</v>
      </c>
      <c r="BH63" s="124">
        <f t="shared" si="52"/>
        <v>0.7</v>
      </c>
      <c r="BI63" s="192"/>
      <c r="BM63" s="196">
        <v>1</v>
      </c>
      <c r="BN63" s="38">
        <v>65</v>
      </c>
      <c r="BO63" s="81">
        <f t="shared" si="53"/>
        <v>71.5</v>
      </c>
      <c r="BP63" s="38">
        <f>BP62+60</f>
        <v>125</v>
      </c>
      <c r="BQ63" s="61">
        <f t="shared" si="54"/>
        <v>137.5</v>
      </c>
      <c r="BR63" s="49">
        <v>60</v>
      </c>
      <c r="BS63" s="80">
        <f t="shared" si="55"/>
        <v>66</v>
      </c>
      <c r="BT63" s="73">
        <f t="shared" si="57"/>
        <v>65</v>
      </c>
      <c r="BU63" s="124">
        <f t="shared" si="56"/>
        <v>1.0833333333333333</v>
      </c>
    </row>
    <row r="64" spans="1:75" ht="15" thickBot="1" x14ac:dyDescent="0.35">
      <c r="A64" s="223" t="s">
        <v>51</v>
      </c>
      <c r="B64" s="224"/>
      <c r="C64" s="224"/>
      <c r="D64" s="224"/>
      <c r="E64" s="224"/>
      <c r="F64" s="224"/>
      <c r="G64" s="224"/>
      <c r="H64" s="224"/>
      <c r="I64" s="225"/>
      <c r="J64" s="74">
        <f>AVERAGE(J60:J63)</f>
        <v>0.58894230769230771</v>
      </c>
      <c r="K64" s="92"/>
      <c r="O64" s="223" t="s">
        <v>51</v>
      </c>
      <c r="P64" s="224"/>
      <c r="Q64" s="224"/>
      <c r="R64" s="224"/>
      <c r="S64" s="224"/>
      <c r="T64" s="224"/>
      <c r="U64" s="224"/>
      <c r="V64" s="225"/>
      <c r="W64" s="74">
        <f>AVERAGE(W60:W63)</f>
        <v>0.29655148772795831</v>
      </c>
      <c r="X64" s="92"/>
      <c r="AA64" s="223" t="s">
        <v>51</v>
      </c>
      <c r="AB64" s="224"/>
      <c r="AC64" s="224"/>
      <c r="AD64" s="224"/>
      <c r="AE64" s="224"/>
      <c r="AF64" s="224"/>
      <c r="AG64" s="224"/>
      <c r="AH64" s="225"/>
      <c r="AI64" s="74">
        <f>AVERAGE(AI60:AI63)</f>
        <v>0.18785643704121965</v>
      </c>
      <c r="AJ64" s="92"/>
      <c r="AM64" s="223" t="s">
        <v>51</v>
      </c>
      <c r="AN64" s="224"/>
      <c r="AO64" s="224"/>
      <c r="AP64" s="224"/>
      <c r="AQ64" s="224"/>
      <c r="AR64" s="224"/>
      <c r="AS64" s="224"/>
      <c r="AT64" s="225"/>
      <c r="AU64" s="74">
        <f>AVERAGE(AU60:AU63)</f>
        <v>0.67083333333333328</v>
      </c>
      <c r="AV64" s="92"/>
      <c r="AW64" s="92"/>
      <c r="AZ64" s="223" t="s">
        <v>51</v>
      </c>
      <c r="BA64" s="224"/>
      <c r="BB64" s="224"/>
      <c r="BC64" s="224"/>
      <c r="BD64" s="224"/>
      <c r="BE64" s="224"/>
      <c r="BF64" s="224"/>
      <c r="BG64" s="225"/>
      <c r="BH64" s="74">
        <f>AVERAGE(BH60:BH63)</f>
        <v>0.48047619047619045</v>
      </c>
      <c r="BI64" s="92"/>
      <c r="BM64" s="223" t="s">
        <v>51</v>
      </c>
      <c r="BN64" s="224"/>
      <c r="BO64" s="224"/>
      <c r="BP64" s="224"/>
      <c r="BQ64" s="224"/>
      <c r="BR64" s="224"/>
      <c r="BS64" s="224"/>
      <c r="BT64" s="225"/>
      <c r="BU64" s="74">
        <f>AVERAGE(BU60:BU63)</f>
        <v>0.64940476190476193</v>
      </c>
    </row>
  </sheetData>
  <mergeCells count="37">
    <mergeCell ref="BM64:BT64"/>
    <mergeCell ref="A1:Y1"/>
    <mergeCell ref="BM55:BU55"/>
    <mergeCell ref="AZ57:BH57"/>
    <mergeCell ref="AZ58:BH58"/>
    <mergeCell ref="AZ64:BG64"/>
    <mergeCell ref="AM57:AU57"/>
    <mergeCell ref="AM58:AU58"/>
    <mergeCell ref="AM64:AT64"/>
    <mergeCell ref="BM57:BU57"/>
    <mergeCell ref="BM58:BU58"/>
    <mergeCell ref="O2:Y2"/>
    <mergeCell ref="O3:Y3"/>
    <mergeCell ref="AA3:AK3"/>
    <mergeCell ref="AA2:AK2"/>
    <mergeCell ref="AM2:AX2"/>
    <mergeCell ref="AZ55:BH55"/>
    <mergeCell ref="A2:M2"/>
    <mergeCell ref="A3:M3"/>
    <mergeCell ref="BM2:BW2"/>
    <mergeCell ref="BM3:BW3"/>
    <mergeCell ref="AZ2:BK2"/>
    <mergeCell ref="AZ3:BK3"/>
    <mergeCell ref="AM3:AX3"/>
    <mergeCell ref="A55:J55"/>
    <mergeCell ref="O55:W55"/>
    <mergeCell ref="AA55:AI55"/>
    <mergeCell ref="AM55:AU55"/>
    <mergeCell ref="AA57:AI57"/>
    <mergeCell ref="AA58:AI58"/>
    <mergeCell ref="AA64:AH64"/>
    <mergeCell ref="A64:I64"/>
    <mergeCell ref="A57:J57"/>
    <mergeCell ref="A58:J58"/>
    <mergeCell ref="O57:W57"/>
    <mergeCell ref="O58:W58"/>
    <mergeCell ref="O64:V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5E50-60C9-4FCC-B79C-A683F11692C0}">
  <dimension ref="A1:BA64"/>
  <sheetViews>
    <sheetView topLeftCell="A43" workbookViewId="0">
      <selection activeCell="R58" sqref="R58"/>
    </sheetView>
  </sheetViews>
  <sheetFormatPr defaultRowHeight="14.4" x14ac:dyDescent="0.3"/>
  <sheetData>
    <row r="1" spans="1:53" ht="15" thickBot="1" x14ac:dyDescent="0.35">
      <c r="A1" s="233" t="s">
        <v>48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</row>
    <row r="2" spans="1:53" ht="15" thickBot="1" x14ac:dyDescent="0.35">
      <c r="A2" s="220" t="s">
        <v>1</v>
      </c>
      <c r="B2" s="221"/>
      <c r="C2" s="221"/>
      <c r="D2" s="221"/>
      <c r="E2" s="221"/>
      <c r="F2" s="221"/>
      <c r="G2" s="221"/>
      <c r="H2" s="222"/>
      <c r="J2" s="220" t="s">
        <v>2</v>
      </c>
      <c r="K2" s="221"/>
      <c r="L2" s="221"/>
      <c r="M2" s="221"/>
      <c r="N2" s="221"/>
      <c r="O2" s="221"/>
      <c r="P2" s="221"/>
      <c r="Q2" s="222"/>
      <c r="S2" s="220" t="s">
        <v>3</v>
      </c>
      <c r="T2" s="221"/>
      <c r="U2" s="221"/>
      <c r="V2" s="221"/>
      <c r="W2" s="221"/>
      <c r="X2" s="221"/>
      <c r="Y2" s="221"/>
      <c r="Z2" s="222"/>
      <c r="AB2" s="220" t="s">
        <v>8</v>
      </c>
      <c r="AC2" s="221"/>
      <c r="AD2" s="221"/>
      <c r="AE2" s="221"/>
      <c r="AF2" s="221"/>
      <c r="AG2" s="221"/>
      <c r="AH2" s="221"/>
      <c r="AI2" s="222"/>
      <c r="AK2" s="220" t="s">
        <v>4</v>
      </c>
      <c r="AL2" s="221"/>
      <c r="AM2" s="221"/>
      <c r="AN2" s="221"/>
      <c r="AO2" s="221"/>
      <c r="AP2" s="221"/>
      <c r="AQ2" s="221"/>
      <c r="AR2" s="222"/>
      <c r="AT2" s="220" t="s">
        <v>7</v>
      </c>
      <c r="AU2" s="221"/>
      <c r="AV2" s="221"/>
      <c r="AW2" s="221"/>
      <c r="AX2" s="221"/>
      <c r="AY2" s="221"/>
      <c r="AZ2" s="221"/>
      <c r="BA2" s="222"/>
    </row>
    <row r="3" spans="1:53" ht="15" thickBot="1" x14ac:dyDescent="0.35">
      <c r="A3" s="220" t="s">
        <v>49</v>
      </c>
      <c r="B3" s="221"/>
      <c r="C3" s="221"/>
      <c r="D3" s="221"/>
      <c r="E3" s="221"/>
      <c r="F3" s="221"/>
      <c r="G3" s="221"/>
      <c r="H3" s="222"/>
      <c r="J3" s="220" t="s">
        <v>49</v>
      </c>
      <c r="K3" s="221"/>
      <c r="L3" s="221"/>
      <c r="M3" s="221"/>
      <c r="N3" s="221"/>
      <c r="O3" s="221"/>
      <c r="P3" s="221"/>
      <c r="Q3" s="222"/>
      <c r="S3" s="220" t="s">
        <v>49</v>
      </c>
      <c r="T3" s="221"/>
      <c r="U3" s="221"/>
      <c r="V3" s="221"/>
      <c r="W3" s="221"/>
      <c r="X3" s="221"/>
      <c r="Y3" s="221"/>
      <c r="Z3" s="222"/>
      <c r="AB3" s="220" t="s">
        <v>49</v>
      </c>
      <c r="AC3" s="221"/>
      <c r="AD3" s="221"/>
      <c r="AE3" s="221"/>
      <c r="AF3" s="221"/>
      <c r="AG3" s="221"/>
      <c r="AH3" s="221"/>
      <c r="AI3" s="222"/>
      <c r="AK3" s="220" t="s">
        <v>49</v>
      </c>
      <c r="AL3" s="221"/>
      <c r="AM3" s="221"/>
      <c r="AN3" s="221"/>
      <c r="AO3" s="221"/>
      <c r="AP3" s="221"/>
      <c r="AQ3" s="221"/>
      <c r="AR3" s="222"/>
      <c r="AT3" s="220" t="s">
        <v>49</v>
      </c>
      <c r="AU3" s="221"/>
      <c r="AV3" s="221"/>
      <c r="AW3" s="221"/>
      <c r="AX3" s="221"/>
      <c r="AY3" s="221"/>
      <c r="AZ3" s="221"/>
      <c r="BA3" s="222"/>
    </row>
    <row r="4" spans="1:53" ht="43.8" thickBot="1" x14ac:dyDescent="0.35">
      <c r="A4" s="199" t="s">
        <v>0</v>
      </c>
      <c r="B4" s="125" t="s">
        <v>22</v>
      </c>
      <c r="C4" s="126" t="s">
        <v>64</v>
      </c>
      <c r="D4" s="127" t="s">
        <v>50</v>
      </c>
      <c r="E4" s="126" t="s">
        <v>65</v>
      </c>
      <c r="F4" s="126" t="s">
        <v>18</v>
      </c>
      <c r="G4" s="125" t="s">
        <v>46</v>
      </c>
      <c r="H4" s="125" t="s">
        <v>47</v>
      </c>
      <c r="J4" s="199" t="s">
        <v>0</v>
      </c>
      <c r="K4" s="125" t="s">
        <v>22</v>
      </c>
      <c r="L4" s="126" t="s">
        <v>64</v>
      </c>
      <c r="M4" s="127" t="s">
        <v>50</v>
      </c>
      <c r="N4" s="126" t="s">
        <v>65</v>
      </c>
      <c r="O4" s="126" t="s">
        <v>18</v>
      </c>
      <c r="P4" s="125" t="s">
        <v>46</v>
      </c>
      <c r="Q4" s="125" t="s">
        <v>47</v>
      </c>
      <c r="S4" s="199" t="s">
        <v>0</v>
      </c>
      <c r="T4" s="125" t="s">
        <v>22</v>
      </c>
      <c r="U4" s="126" t="s">
        <v>64</v>
      </c>
      <c r="V4" s="127" t="s">
        <v>50</v>
      </c>
      <c r="W4" s="126" t="s">
        <v>65</v>
      </c>
      <c r="X4" s="126" t="s">
        <v>18</v>
      </c>
      <c r="Y4" s="125" t="s">
        <v>46</v>
      </c>
      <c r="Z4" s="125" t="s">
        <v>47</v>
      </c>
      <c r="AB4" s="199" t="s">
        <v>0</v>
      </c>
      <c r="AC4" s="125" t="s">
        <v>22</v>
      </c>
      <c r="AD4" s="126" t="s">
        <v>64</v>
      </c>
      <c r="AE4" s="127" t="s">
        <v>50</v>
      </c>
      <c r="AF4" s="126" t="s">
        <v>65</v>
      </c>
      <c r="AG4" s="126" t="s">
        <v>18</v>
      </c>
      <c r="AH4" s="125" t="s">
        <v>46</v>
      </c>
      <c r="AI4" s="125" t="s">
        <v>47</v>
      </c>
      <c r="AK4" s="199" t="s">
        <v>0</v>
      </c>
      <c r="AL4" s="125" t="s">
        <v>22</v>
      </c>
      <c r="AM4" s="126" t="s">
        <v>64</v>
      </c>
      <c r="AN4" s="127" t="s">
        <v>50</v>
      </c>
      <c r="AO4" s="126" t="s">
        <v>65</v>
      </c>
      <c r="AP4" s="126" t="s">
        <v>18</v>
      </c>
      <c r="AQ4" s="125" t="s">
        <v>46</v>
      </c>
      <c r="AR4" s="125" t="s">
        <v>47</v>
      </c>
      <c r="AT4" s="199" t="s">
        <v>0</v>
      </c>
      <c r="AU4" s="125" t="s">
        <v>22</v>
      </c>
      <c r="AV4" s="126" t="s">
        <v>64</v>
      </c>
      <c r="AW4" s="127" t="s">
        <v>50</v>
      </c>
      <c r="AX4" s="126" t="s">
        <v>65</v>
      </c>
      <c r="AY4" s="126" t="s">
        <v>18</v>
      </c>
      <c r="AZ4" s="125" t="s">
        <v>46</v>
      </c>
      <c r="BA4" s="125" t="s">
        <v>47</v>
      </c>
    </row>
    <row r="5" spans="1:53" x14ac:dyDescent="0.3">
      <c r="A5" s="58" cm="1">
        <f t="array" ref="A5:A54">_xlfn.SEQUENCE(50)</f>
        <v>1</v>
      </c>
      <c r="B5" s="200">
        <v>1</v>
      </c>
      <c r="C5" s="186">
        <f>18*3</f>
        <v>54</v>
      </c>
      <c r="D5" s="61">
        <f>C5 +C5*10%</f>
        <v>59.4</v>
      </c>
      <c r="E5" s="5" cm="1">
        <f t="array" ref="E5:E54">VLOOKUP(B5:B54, WITHINCITY!B4:E53,4,0)</f>
        <v>54</v>
      </c>
      <c r="F5" s="61" cm="1">
        <f t="array" ref="F5:F54">VLOOKUP(B5:B54, WITHINCITY!B4:P53,15,0)</f>
        <v>59.4</v>
      </c>
      <c r="G5" s="61"/>
      <c r="H5" s="4"/>
      <c r="J5" s="58" cm="1">
        <f t="array" ref="J5:J54">_xlfn.SEQUENCE(50)</f>
        <v>1</v>
      </c>
      <c r="K5" s="200">
        <v>1</v>
      </c>
      <c r="L5" s="186">
        <f>20*3</f>
        <v>60</v>
      </c>
      <c r="M5" s="61">
        <f>L5 +L5*10%</f>
        <v>66</v>
      </c>
      <c r="N5" s="61" cm="1">
        <f t="array" ref="N5:N54">VLOOKUP(K5:K54, WITHINSTATE!B4:E53,4,0)</f>
        <v>60</v>
      </c>
      <c r="O5" s="61" cm="1">
        <f t="array" ref="O5:O54">VLOOKUP(K5:K54, WITHINSTATE!B4:P53,15,0)</f>
        <v>66</v>
      </c>
      <c r="P5" s="5"/>
      <c r="Q5" s="4"/>
      <c r="S5" s="58" cm="1">
        <f t="array" ref="S5:S54">_xlfn.SEQUENCE(50)</f>
        <v>1</v>
      </c>
      <c r="T5" s="200">
        <v>1</v>
      </c>
      <c r="U5" s="186">
        <f>25*3</f>
        <v>75</v>
      </c>
      <c r="V5" s="61">
        <f>U5 +U5*10%</f>
        <v>82.5</v>
      </c>
      <c r="W5" s="61" cm="1">
        <f t="array" ref="W5:W54">VLOOKUP(T5:T54, WITHINZONE!B4:E53,4,0)</f>
        <v>75</v>
      </c>
      <c r="X5" s="61" cm="1">
        <f t="array" ref="X5:X54">VLOOKUP(T5:T54, WITHINZONE!B4:P53,15,0)</f>
        <v>82.5</v>
      </c>
      <c r="Y5" s="5"/>
      <c r="Z5" s="4"/>
      <c r="AB5" s="58" cm="1">
        <f t="array" ref="AB5:AB54">_xlfn.SEQUENCE(50)</f>
        <v>1</v>
      </c>
      <c r="AC5" s="200">
        <v>1</v>
      </c>
      <c r="AD5" s="186">
        <f>30*3</f>
        <v>90</v>
      </c>
      <c r="AE5" s="61">
        <f>AD5 +AD5*10%</f>
        <v>99</v>
      </c>
      <c r="AF5" s="61" cm="1">
        <f t="array" ref="AF5:AF54">VLOOKUP(AC5:AC54, 'METRO TO METRO'!B4:E53,4,0)</f>
        <v>84</v>
      </c>
      <c r="AG5" s="61" cm="1">
        <f t="array" ref="AG5:AG54">VLOOKUP(AC5:AC54, 'METRO TO METRO'!B4:P53,15,0)</f>
        <v>92.4</v>
      </c>
      <c r="AH5" s="5"/>
      <c r="AI5" s="4"/>
      <c r="AK5" s="58" cm="1">
        <f t="array" ref="AK5:AK54">_xlfn.SEQUENCE(50)</f>
        <v>1</v>
      </c>
      <c r="AL5" s="200">
        <v>1</v>
      </c>
      <c r="AM5" s="186">
        <f>40*3</f>
        <v>120</v>
      </c>
      <c r="AN5" s="61">
        <f>AM5 +AM5*10%</f>
        <v>132</v>
      </c>
      <c r="AO5" s="61" cm="1">
        <f t="array" ref="AO5:AO54">VLOOKUP(AL5:AL54, RESTOFINDIA!B4:E53,4,0)</f>
        <v>90</v>
      </c>
      <c r="AP5" s="61" cm="1">
        <f t="array" ref="AP5:AP54">VLOOKUP(AL5:AL54, RESTOFINDIA!B4:P53,15,0)</f>
        <v>99</v>
      </c>
      <c r="AQ5" s="5"/>
      <c r="AR5" s="4"/>
      <c r="AT5" s="58" cm="1">
        <f t="array" ref="AT5:AT54">_xlfn.SEQUENCE(50)</f>
        <v>1</v>
      </c>
      <c r="AU5" s="200">
        <v>1</v>
      </c>
      <c r="AV5" s="186">
        <f>54*3</f>
        <v>162</v>
      </c>
      <c r="AW5" s="61">
        <f>AV5 +AV5*10%</f>
        <v>178.2</v>
      </c>
      <c r="AX5" s="5" cm="1">
        <f t="array" ref="AX5:AX54">VLOOKUP(AU5:AU54, SPECIALDESTINATION!B4:E53,4,0)</f>
        <v>135</v>
      </c>
      <c r="AY5" s="5" cm="1">
        <f t="array" ref="AY5:AY54">VLOOKUP(AU5:AU54, SPECIALDESTINATION!B4:O53,14,0)</f>
        <v>148.5</v>
      </c>
      <c r="AZ5" s="5"/>
      <c r="BA5" s="4"/>
    </row>
    <row r="6" spans="1:53" x14ac:dyDescent="0.3">
      <c r="A6" s="48">
        <v>2</v>
      </c>
      <c r="B6" s="16">
        <f>B5 + 1</f>
        <v>2</v>
      </c>
      <c r="C6" s="177">
        <f t="shared" ref="C6:C7" si="0">18*3</f>
        <v>54</v>
      </c>
      <c r="D6" s="49">
        <f t="shared" ref="D6:D54" si="1">C6 +C6*10%</f>
        <v>59.4</v>
      </c>
      <c r="E6" s="2">
        <v>54</v>
      </c>
      <c r="F6" s="49">
        <v>59.4</v>
      </c>
      <c r="G6" s="49"/>
      <c r="H6" s="3"/>
      <c r="J6" s="48">
        <v>2</v>
      </c>
      <c r="K6" s="16">
        <f>K5 + 1</f>
        <v>2</v>
      </c>
      <c r="L6" s="177">
        <f t="shared" ref="L6:L7" si="2">20*3</f>
        <v>60</v>
      </c>
      <c r="M6" s="49">
        <f t="shared" ref="M6:M54" si="3">L6 +L6*10%</f>
        <v>66</v>
      </c>
      <c r="N6" s="49">
        <v>60</v>
      </c>
      <c r="O6" s="49">
        <v>66</v>
      </c>
      <c r="P6" s="2"/>
      <c r="Q6" s="3"/>
      <c r="S6" s="48">
        <v>2</v>
      </c>
      <c r="T6" s="16">
        <f>T5 + 1</f>
        <v>2</v>
      </c>
      <c r="U6" s="177">
        <f t="shared" ref="U6:U7" si="4">25*3</f>
        <v>75</v>
      </c>
      <c r="V6" s="49">
        <f t="shared" ref="V6:V54" si="5">U6 +U6*10%</f>
        <v>82.5</v>
      </c>
      <c r="W6" s="49">
        <v>75</v>
      </c>
      <c r="X6" s="49">
        <v>82.5</v>
      </c>
      <c r="Y6" s="2"/>
      <c r="Z6" s="3"/>
      <c r="AB6" s="48">
        <v>2</v>
      </c>
      <c r="AC6" s="16">
        <f>AC5 + 1</f>
        <v>2</v>
      </c>
      <c r="AD6" s="177">
        <f t="shared" ref="AD6:AD7" si="6">30*3</f>
        <v>90</v>
      </c>
      <c r="AE6" s="49">
        <f t="shared" ref="AE6:AE54" si="7">AD6 +AD6*10%</f>
        <v>99</v>
      </c>
      <c r="AF6" s="49">
        <v>84</v>
      </c>
      <c r="AG6" s="49">
        <v>92.4</v>
      </c>
      <c r="AH6" s="2"/>
      <c r="AI6" s="3"/>
      <c r="AK6" s="48">
        <v>2</v>
      </c>
      <c r="AL6" s="16">
        <f>AL5 + 1</f>
        <v>2</v>
      </c>
      <c r="AM6" s="177">
        <f t="shared" ref="AM6:AM7" si="8">40*3</f>
        <v>120</v>
      </c>
      <c r="AN6" s="49">
        <f t="shared" ref="AN6:AN54" si="9">AM6 +AM6*10%</f>
        <v>132</v>
      </c>
      <c r="AO6" s="49">
        <v>90</v>
      </c>
      <c r="AP6" s="49">
        <v>99</v>
      </c>
      <c r="AQ6" s="2"/>
      <c r="AR6" s="3"/>
      <c r="AT6" s="48">
        <v>2</v>
      </c>
      <c r="AU6" s="16">
        <f>AU5 + 1</f>
        <v>2</v>
      </c>
      <c r="AV6" s="177">
        <f t="shared" ref="AV6:AV7" si="10">54*3</f>
        <v>162</v>
      </c>
      <c r="AW6" s="49">
        <f t="shared" ref="AW6:AW54" si="11">AV6 +AV6*10%</f>
        <v>178.2</v>
      </c>
      <c r="AX6" s="2">
        <v>135</v>
      </c>
      <c r="AY6" s="2">
        <v>148.5</v>
      </c>
      <c r="AZ6" s="2"/>
      <c r="BA6" s="3"/>
    </row>
    <row r="7" spans="1:53" x14ac:dyDescent="0.3">
      <c r="A7" s="48">
        <v>3</v>
      </c>
      <c r="B7" s="16">
        <f t="shared" ref="B7:B54" si="12">B6 + 1</f>
        <v>3</v>
      </c>
      <c r="C7" s="177">
        <f t="shared" si="0"/>
        <v>54</v>
      </c>
      <c r="D7" s="49">
        <f t="shared" si="1"/>
        <v>59.4</v>
      </c>
      <c r="E7" s="2">
        <v>54</v>
      </c>
      <c r="F7" s="49">
        <v>59.4</v>
      </c>
      <c r="G7" s="49">
        <f>D7-F7</f>
        <v>0</v>
      </c>
      <c r="H7" s="94">
        <f>G7/F7</f>
        <v>0</v>
      </c>
      <c r="J7" s="48">
        <v>3</v>
      </c>
      <c r="K7" s="16">
        <f t="shared" ref="K7:K54" si="13">K6 + 1</f>
        <v>3</v>
      </c>
      <c r="L7" s="177">
        <f t="shared" si="2"/>
        <v>60</v>
      </c>
      <c r="M7" s="49">
        <f t="shared" si="3"/>
        <v>66</v>
      </c>
      <c r="N7" s="49">
        <v>60</v>
      </c>
      <c r="O7" s="49">
        <v>66</v>
      </c>
      <c r="P7" s="49">
        <f>M7-O7</f>
        <v>0</v>
      </c>
      <c r="Q7" s="94">
        <f>P7/O7</f>
        <v>0</v>
      </c>
      <c r="S7" s="48">
        <v>3</v>
      </c>
      <c r="T7" s="16">
        <f t="shared" ref="T7:T54" si="14">T6 + 1</f>
        <v>3</v>
      </c>
      <c r="U7" s="177">
        <f t="shared" si="4"/>
        <v>75</v>
      </c>
      <c r="V7" s="49">
        <f t="shared" si="5"/>
        <v>82.5</v>
      </c>
      <c r="W7" s="49">
        <v>75</v>
      </c>
      <c r="X7" s="49">
        <v>82.5</v>
      </c>
      <c r="Y7" s="49">
        <f>V7-X7</f>
        <v>0</v>
      </c>
      <c r="Z7" s="94">
        <f>Y7/X7</f>
        <v>0</v>
      </c>
      <c r="AB7" s="48">
        <v>3</v>
      </c>
      <c r="AC7" s="16">
        <f t="shared" ref="AC7:AC54" si="15">AC6 + 1</f>
        <v>3</v>
      </c>
      <c r="AD7" s="177">
        <f t="shared" si="6"/>
        <v>90</v>
      </c>
      <c r="AE7" s="49">
        <f t="shared" si="7"/>
        <v>99</v>
      </c>
      <c r="AF7" s="49">
        <v>84</v>
      </c>
      <c r="AG7" s="49">
        <v>92.4</v>
      </c>
      <c r="AH7" s="49">
        <f>AE7-AG7</f>
        <v>6.5999999999999943</v>
      </c>
      <c r="AI7" s="94">
        <f>AH7/AG7</f>
        <v>7.1428571428571369E-2</v>
      </c>
      <c r="AK7" s="48">
        <v>3</v>
      </c>
      <c r="AL7" s="16">
        <f t="shared" ref="AL7:AL54" si="16">AL6 + 1</f>
        <v>3</v>
      </c>
      <c r="AM7" s="177">
        <f t="shared" si="8"/>
        <v>120</v>
      </c>
      <c r="AN7" s="49">
        <f t="shared" si="9"/>
        <v>132</v>
      </c>
      <c r="AO7" s="49">
        <v>90</v>
      </c>
      <c r="AP7" s="49">
        <v>99</v>
      </c>
      <c r="AQ7" s="49">
        <f>AN7-AP7</f>
        <v>33</v>
      </c>
      <c r="AR7" s="94">
        <f>AQ7/AP7</f>
        <v>0.33333333333333331</v>
      </c>
      <c r="AT7" s="48">
        <v>3</v>
      </c>
      <c r="AU7" s="16">
        <f t="shared" ref="AU7:AU54" si="17">AU6 + 1</f>
        <v>3</v>
      </c>
      <c r="AV7" s="177">
        <f t="shared" si="10"/>
        <v>162</v>
      </c>
      <c r="AW7" s="49">
        <f t="shared" si="11"/>
        <v>178.2</v>
      </c>
      <c r="AX7" s="2">
        <v>135</v>
      </c>
      <c r="AY7" s="2">
        <v>148.5</v>
      </c>
      <c r="AZ7" s="49">
        <f>AW7-AY7</f>
        <v>29.699999999999989</v>
      </c>
      <c r="BA7" s="94">
        <f>AZ7/AY7</f>
        <v>0.19999999999999993</v>
      </c>
    </row>
    <row r="8" spans="1:53" x14ac:dyDescent="0.3">
      <c r="A8" s="48">
        <v>4</v>
      </c>
      <c r="B8" s="16">
        <f t="shared" si="12"/>
        <v>4</v>
      </c>
      <c r="C8" s="177">
        <f>18*B8</f>
        <v>72</v>
      </c>
      <c r="D8" s="49">
        <f t="shared" si="1"/>
        <v>79.2</v>
      </c>
      <c r="E8" s="2">
        <v>72</v>
      </c>
      <c r="F8" s="49">
        <v>79.2</v>
      </c>
      <c r="G8" s="49">
        <f t="shared" ref="G8:G54" si="18">D8-F8</f>
        <v>0</v>
      </c>
      <c r="H8" s="94">
        <f>G8/F8</f>
        <v>0</v>
      </c>
      <c r="J8" s="48">
        <v>4</v>
      </c>
      <c r="K8" s="16">
        <f t="shared" si="13"/>
        <v>4</v>
      </c>
      <c r="L8" s="177">
        <f>20*K8</f>
        <v>80</v>
      </c>
      <c r="M8" s="49">
        <f t="shared" si="3"/>
        <v>88</v>
      </c>
      <c r="N8" s="49">
        <v>80</v>
      </c>
      <c r="O8" s="49">
        <v>88</v>
      </c>
      <c r="P8" s="49">
        <f t="shared" ref="P8:P54" si="19">M8-O8</f>
        <v>0</v>
      </c>
      <c r="Q8" s="94">
        <f t="shared" ref="Q8:Q54" si="20">P8/O8</f>
        <v>0</v>
      </c>
      <c r="S8" s="48">
        <v>4</v>
      </c>
      <c r="T8" s="16">
        <f t="shared" si="14"/>
        <v>4</v>
      </c>
      <c r="U8" s="177">
        <f>25*T8</f>
        <v>100</v>
      </c>
      <c r="V8" s="49">
        <f t="shared" si="5"/>
        <v>110</v>
      </c>
      <c r="W8" s="49">
        <v>100</v>
      </c>
      <c r="X8" s="49">
        <v>110</v>
      </c>
      <c r="Y8" s="49">
        <f t="shared" ref="Y8:Y54" si="21">V8-X8</f>
        <v>0</v>
      </c>
      <c r="Z8" s="94">
        <f t="shared" ref="Z8:Z54" si="22">Y8/X8</f>
        <v>0</v>
      </c>
      <c r="AB8" s="48">
        <v>4</v>
      </c>
      <c r="AC8" s="16">
        <f t="shared" si="15"/>
        <v>4</v>
      </c>
      <c r="AD8" s="177">
        <f>30*AC8</f>
        <v>120</v>
      </c>
      <c r="AE8" s="49">
        <f t="shared" si="7"/>
        <v>132</v>
      </c>
      <c r="AF8" s="49">
        <v>112</v>
      </c>
      <c r="AG8" s="49">
        <v>123.2</v>
      </c>
      <c r="AH8" s="49">
        <f t="shared" ref="AH8:AH54" si="23">AE8-AG8</f>
        <v>8.7999999999999972</v>
      </c>
      <c r="AI8" s="94">
        <f t="shared" ref="AI8:AI54" si="24">AH8/AG8</f>
        <v>7.1428571428571411E-2</v>
      </c>
      <c r="AK8" s="48">
        <v>4</v>
      </c>
      <c r="AL8" s="16">
        <f t="shared" si="16"/>
        <v>4</v>
      </c>
      <c r="AM8" s="177">
        <f>40*AL8</f>
        <v>160</v>
      </c>
      <c r="AN8" s="49">
        <f t="shared" si="9"/>
        <v>176</v>
      </c>
      <c r="AO8" s="49">
        <v>120</v>
      </c>
      <c r="AP8" s="49">
        <v>132</v>
      </c>
      <c r="AQ8" s="49">
        <f t="shared" ref="AQ8:AQ54" si="25">AN8-AP8</f>
        <v>44</v>
      </c>
      <c r="AR8" s="94">
        <f t="shared" ref="AR8:AR54" si="26">AQ8/AP8</f>
        <v>0.33333333333333331</v>
      </c>
      <c r="AT8" s="48">
        <v>4</v>
      </c>
      <c r="AU8" s="16">
        <f t="shared" si="17"/>
        <v>4</v>
      </c>
      <c r="AV8" s="177">
        <f>54*AU8</f>
        <v>216</v>
      </c>
      <c r="AW8" s="49">
        <f t="shared" si="11"/>
        <v>237.6</v>
      </c>
      <c r="AX8" s="2">
        <v>180</v>
      </c>
      <c r="AY8" s="2">
        <v>198</v>
      </c>
      <c r="AZ8" s="49">
        <f t="shared" ref="AZ8:AZ54" si="27">AW8-AY8</f>
        <v>39.599999999999994</v>
      </c>
      <c r="BA8" s="94">
        <f t="shared" ref="BA8:BA54" si="28">AZ8/AY8</f>
        <v>0.19999999999999998</v>
      </c>
    </row>
    <row r="9" spans="1:53" x14ac:dyDescent="0.3">
      <c r="A9" s="48">
        <v>5</v>
      </c>
      <c r="B9" s="16">
        <f t="shared" si="12"/>
        <v>5</v>
      </c>
      <c r="C9" s="177">
        <f t="shared" ref="C9:C54" si="29">18*B9</f>
        <v>90</v>
      </c>
      <c r="D9" s="49">
        <f t="shared" si="1"/>
        <v>99</v>
      </c>
      <c r="E9" s="2">
        <v>90</v>
      </c>
      <c r="F9" s="49">
        <v>99</v>
      </c>
      <c r="G9" s="49">
        <f t="shared" si="18"/>
        <v>0</v>
      </c>
      <c r="H9" s="94">
        <f t="shared" ref="H9:H54" si="30">G9/F9</f>
        <v>0</v>
      </c>
      <c r="J9" s="48">
        <v>5</v>
      </c>
      <c r="K9" s="16">
        <f t="shared" si="13"/>
        <v>5</v>
      </c>
      <c r="L9" s="177">
        <f t="shared" ref="L9:L54" si="31">20*K9</f>
        <v>100</v>
      </c>
      <c r="M9" s="49">
        <f t="shared" si="3"/>
        <v>110</v>
      </c>
      <c r="N9" s="49">
        <v>100</v>
      </c>
      <c r="O9" s="49">
        <v>110</v>
      </c>
      <c r="P9" s="49">
        <f t="shared" si="19"/>
        <v>0</v>
      </c>
      <c r="Q9" s="94">
        <f t="shared" si="20"/>
        <v>0</v>
      </c>
      <c r="S9" s="48">
        <v>5</v>
      </c>
      <c r="T9" s="16">
        <f t="shared" si="14"/>
        <v>5</v>
      </c>
      <c r="U9" s="177">
        <f t="shared" ref="U9:U54" si="32">25*T9</f>
        <v>125</v>
      </c>
      <c r="V9" s="49">
        <f t="shared" si="5"/>
        <v>137.5</v>
      </c>
      <c r="W9" s="49">
        <v>125</v>
      </c>
      <c r="X9" s="49">
        <v>137.5</v>
      </c>
      <c r="Y9" s="49">
        <f t="shared" si="21"/>
        <v>0</v>
      </c>
      <c r="Z9" s="94">
        <f t="shared" si="22"/>
        <v>0</v>
      </c>
      <c r="AB9" s="48">
        <v>5</v>
      </c>
      <c r="AC9" s="16">
        <f t="shared" si="15"/>
        <v>5</v>
      </c>
      <c r="AD9" s="177">
        <f t="shared" ref="AD9:AD54" si="33">30*AC9</f>
        <v>150</v>
      </c>
      <c r="AE9" s="49">
        <f t="shared" si="7"/>
        <v>165</v>
      </c>
      <c r="AF9" s="49">
        <v>140</v>
      </c>
      <c r="AG9" s="49">
        <v>154</v>
      </c>
      <c r="AH9" s="49">
        <f t="shared" si="23"/>
        <v>11</v>
      </c>
      <c r="AI9" s="94">
        <f t="shared" si="24"/>
        <v>7.1428571428571425E-2</v>
      </c>
      <c r="AK9" s="48">
        <v>5</v>
      </c>
      <c r="AL9" s="16">
        <f t="shared" si="16"/>
        <v>5</v>
      </c>
      <c r="AM9" s="177">
        <f t="shared" ref="AM9:AM54" si="34">40*AL9</f>
        <v>200</v>
      </c>
      <c r="AN9" s="49">
        <f t="shared" si="9"/>
        <v>220</v>
      </c>
      <c r="AO9" s="49">
        <v>150</v>
      </c>
      <c r="AP9" s="49">
        <v>165</v>
      </c>
      <c r="AQ9" s="49">
        <f t="shared" si="25"/>
        <v>55</v>
      </c>
      <c r="AR9" s="94">
        <f t="shared" si="26"/>
        <v>0.33333333333333331</v>
      </c>
      <c r="AT9" s="48">
        <v>5</v>
      </c>
      <c r="AU9" s="16">
        <f t="shared" si="17"/>
        <v>5</v>
      </c>
      <c r="AV9" s="177">
        <f t="shared" ref="AV9:AV54" si="35">54*AU9</f>
        <v>270</v>
      </c>
      <c r="AW9" s="49">
        <f t="shared" si="11"/>
        <v>297</v>
      </c>
      <c r="AX9" s="2">
        <v>225</v>
      </c>
      <c r="AY9" s="2">
        <v>247.5</v>
      </c>
      <c r="AZ9" s="49">
        <f t="shared" si="27"/>
        <v>49.5</v>
      </c>
      <c r="BA9" s="94">
        <f t="shared" si="28"/>
        <v>0.2</v>
      </c>
    </row>
    <row r="10" spans="1:53" x14ac:dyDescent="0.3">
      <c r="A10" s="48">
        <v>6</v>
      </c>
      <c r="B10" s="16">
        <f t="shared" si="12"/>
        <v>6</v>
      </c>
      <c r="C10" s="177">
        <f t="shared" si="29"/>
        <v>108</v>
      </c>
      <c r="D10" s="49">
        <f t="shared" si="1"/>
        <v>118.8</v>
      </c>
      <c r="E10" s="2">
        <v>108</v>
      </c>
      <c r="F10" s="49">
        <v>118.8</v>
      </c>
      <c r="G10" s="49">
        <f t="shared" si="18"/>
        <v>0</v>
      </c>
      <c r="H10" s="94">
        <f t="shared" si="30"/>
        <v>0</v>
      </c>
      <c r="J10" s="48">
        <v>6</v>
      </c>
      <c r="K10" s="16">
        <f t="shared" si="13"/>
        <v>6</v>
      </c>
      <c r="L10" s="177">
        <f t="shared" si="31"/>
        <v>120</v>
      </c>
      <c r="M10" s="49">
        <f t="shared" si="3"/>
        <v>132</v>
      </c>
      <c r="N10" s="49">
        <v>120</v>
      </c>
      <c r="O10" s="49">
        <v>132</v>
      </c>
      <c r="P10" s="49">
        <f t="shared" si="19"/>
        <v>0</v>
      </c>
      <c r="Q10" s="94">
        <f t="shared" si="20"/>
        <v>0</v>
      </c>
      <c r="S10" s="48">
        <v>6</v>
      </c>
      <c r="T10" s="16">
        <f t="shared" si="14"/>
        <v>6</v>
      </c>
      <c r="U10" s="177">
        <f t="shared" si="32"/>
        <v>150</v>
      </c>
      <c r="V10" s="49">
        <f t="shared" si="5"/>
        <v>165</v>
      </c>
      <c r="W10" s="49">
        <v>150</v>
      </c>
      <c r="X10" s="49">
        <v>165</v>
      </c>
      <c r="Y10" s="49">
        <f t="shared" si="21"/>
        <v>0</v>
      </c>
      <c r="Z10" s="94">
        <f t="shared" si="22"/>
        <v>0</v>
      </c>
      <c r="AB10" s="48">
        <v>6</v>
      </c>
      <c r="AC10" s="16">
        <f t="shared" si="15"/>
        <v>6</v>
      </c>
      <c r="AD10" s="177">
        <f t="shared" si="33"/>
        <v>180</v>
      </c>
      <c r="AE10" s="49">
        <f t="shared" si="7"/>
        <v>198</v>
      </c>
      <c r="AF10" s="49">
        <v>168</v>
      </c>
      <c r="AG10" s="49">
        <v>184.8</v>
      </c>
      <c r="AH10" s="49">
        <f t="shared" si="23"/>
        <v>13.199999999999989</v>
      </c>
      <c r="AI10" s="94">
        <f t="shared" si="24"/>
        <v>7.1428571428571369E-2</v>
      </c>
      <c r="AK10" s="48">
        <v>6</v>
      </c>
      <c r="AL10" s="16">
        <f t="shared" si="16"/>
        <v>6</v>
      </c>
      <c r="AM10" s="177">
        <f t="shared" si="34"/>
        <v>240</v>
      </c>
      <c r="AN10" s="49">
        <f t="shared" si="9"/>
        <v>264</v>
      </c>
      <c r="AO10" s="49">
        <v>180</v>
      </c>
      <c r="AP10" s="49">
        <v>198</v>
      </c>
      <c r="AQ10" s="49">
        <f t="shared" si="25"/>
        <v>66</v>
      </c>
      <c r="AR10" s="94">
        <f t="shared" si="26"/>
        <v>0.33333333333333331</v>
      </c>
      <c r="AT10" s="48">
        <v>6</v>
      </c>
      <c r="AU10" s="16">
        <f t="shared" si="17"/>
        <v>6</v>
      </c>
      <c r="AV10" s="177">
        <f t="shared" si="35"/>
        <v>324</v>
      </c>
      <c r="AW10" s="49">
        <f t="shared" si="11"/>
        <v>356.4</v>
      </c>
      <c r="AX10" s="2">
        <v>270</v>
      </c>
      <c r="AY10" s="2">
        <v>297</v>
      </c>
      <c r="AZ10" s="49">
        <f t="shared" si="27"/>
        <v>59.399999999999977</v>
      </c>
      <c r="BA10" s="94">
        <f t="shared" si="28"/>
        <v>0.19999999999999993</v>
      </c>
    </row>
    <row r="11" spans="1:53" x14ac:dyDescent="0.3">
      <c r="A11" s="48">
        <v>7</v>
      </c>
      <c r="B11" s="16">
        <f t="shared" si="12"/>
        <v>7</v>
      </c>
      <c r="C11" s="177">
        <f t="shared" si="29"/>
        <v>126</v>
      </c>
      <c r="D11" s="49">
        <f t="shared" si="1"/>
        <v>138.6</v>
      </c>
      <c r="E11" s="2">
        <v>126</v>
      </c>
      <c r="F11" s="49">
        <v>138.6</v>
      </c>
      <c r="G11" s="49">
        <f t="shared" si="18"/>
        <v>0</v>
      </c>
      <c r="H11" s="94">
        <f t="shared" si="30"/>
        <v>0</v>
      </c>
      <c r="J11" s="48">
        <v>7</v>
      </c>
      <c r="K11" s="16">
        <f t="shared" si="13"/>
        <v>7</v>
      </c>
      <c r="L11" s="177">
        <f t="shared" si="31"/>
        <v>140</v>
      </c>
      <c r="M11" s="49">
        <f t="shared" si="3"/>
        <v>154</v>
      </c>
      <c r="N11" s="49">
        <v>140</v>
      </c>
      <c r="O11" s="49">
        <v>154</v>
      </c>
      <c r="P11" s="49">
        <f t="shared" si="19"/>
        <v>0</v>
      </c>
      <c r="Q11" s="94">
        <f t="shared" si="20"/>
        <v>0</v>
      </c>
      <c r="S11" s="48">
        <v>7</v>
      </c>
      <c r="T11" s="16">
        <f t="shared" si="14"/>
        <v>7</v>
      </c>
      <c r="U11" s="177">
        <f t="shared" si="32"/>
        <v>175</v>
      </c>
      <c r="V11" s="49">
        <f t="shared" si="5"/>
        <v>192.5</v>
      </c>
      <c r="W11" s="49">
        <v>175</v>
      </c>
      <c r="X11" s="49">
        <v>192.5</v>
      </c>
      <c r="Y11" s="49">
        <f t="shared" si="21"/>
        <v>0</v>
      </c>
      <c r="Z11" s="94">
        <f t="shared" si="22"/>
        <v>0</v>
      </c>
      <c r="AB11" s="48">
        <v>7</v>
      </c>
      <c r="AC11" s="16">
        <f t="shared" si="15"/>
        <v>7</v>
      </c>
      <c r="AD11" s="177">
        <f t="shared" si="33"/>
        <v>210</v>
      </c>
      <c r="AE11" s="49">
        <f t="shared" si="7"/>
        <v>231</v>
      </c>
      <c r="AF11" s="49">
        <v>196</v>
      </c>
      <c r="AG11" s="49">
        <v>215.6</v>
      </c>
      <c r="AH11" s="49">
        <f t="shared" si="23"/>
        <v>15.400000000000006</v>
      </c>
      <c r="AI11" s="94">
        <f t="shared" si="24"/>
        <v>7.1428571428571452E-2</v>
      </c>
      <c r="AK11" s="48">
        <v>7</v>
      </c>
      <c r="AL11" s="16">
        <f t="shared" si="16"/>
        <v>7</v>
      </c>
      <c r="AM11" s="177">
        <f t="shared" si="34"/>
        <v>280</v>
      </c>
      <c r="AN11" s="49">
        <f t="shared" si="9"/>
        <v>308</v>
      </c>
      <c r="AO11" s="49">
        <v>210</v>
      </c>
      <c r="AP11" s="49">
        <v>231</v>
      </c>
      <c r="AQ11" s="49">
        <f t="shared" si="25"/>
        <v>77</v>
      </c>
      <c r="AR11" s="94">
        <f t="shared" si="26"/>
        <v>0.33333333333333331</v>
      </c>
      <c r="AT11" s="48">
        <v>7</v>
      </c>
      <c r="AU11" s="16">
        <f t="shared" si="17"/>
        <v>7</v>
      </c>
      <c r="AV11" s="177">
        <f t="shared" si="35"/>
        <v>378</v>
      </c>
      <c r="AW11" s="49">
        <f t="shared" si="11"/>
        <v>415.8</v>
      </c>
      <c r="AX11" s="2">
        <v>315</v>
      </c>
      <c r="AY11" s="2">
        <v>346.5</v>
      </c>
      <c r="AZ11" s="49">
        <f t="shared" si="27"/>
        <v>69.300000000000011</v>
      </c>
      <c r="BA11" s="94">
        <f t="shared" si="28"/>
        <v>0.20000000000000004</v>
      </c>
    </row>
    <row r="12" spans="1:53" x14ac:dyDescent="0.3">
      <c r="A12" s="48">
        <v>8</v>
      </c>
      <c r="B12" s="16">
        <f t="shared" si="12"/>
        <v>8</v>
      </c>
      <c r="C12" s="177">
        <f t="shared" si="29"/>
        <v>144</v>
      </c>
      <c r="D12" s="49">
        <f t="shared" si="1"/>
        <v>158.4</v>
      </c>
      <c r="E12" s="2">
        <v>144</v>
      </c>
      <c r="F12" s="49">
        <v>158.4</v>
      </c>
      <c r="G12" s="49">
        <f t="shared" si="18"/>
        <v>0</v>
      </c>
      <c r="H12" s="94">
        <f t="shared" si="30"/>
        <v>0</v>
      </c>
      <c r="J12" s="48">
        <v>8</v>
      </c>
      <c r="K12" s="16">
        <f t="shared" si="13"/>
        <v>8</v>
      </c>
      <c r="L12" s="177">
        <f t="shared" si="31"/>
        <v>160</v>
      </c>
      <c r="M12" s="49">
        <f t="shared" si="3"/>
        <v>176</v>
      </c>
      <c r="N12" s="49">
        <v>160</v>
      </c>
      <c r="O12" s="49">
        <v>176</v>
      </c>
      <c r="P12" s="49">
        <f t="shared" si="19"/>
        <v>0</v>
      </c>
      <c r="Q12" s="94">
        <f t="shared" si="20"/>
        <v>0</v>
      </c>
      <c r="S12" s="48">
        <v>8</v>
      </c>
      <c r="T12" s="16">
        <f t="shared" si="14"/>
        <v>8</v>
      </c>
      <c r="U12" s="177">
        <f t="shared" si="32"/>
        <v>200</v>
      </c>
      <c r="V12" s="49">
        <f t="shared" si="5"/>
        <v>220</v>
      </c>
      <c r="W12" s="49">
        <v>200</v>
      </c>
      <c r="X12" s="49">
        <v>220</v>
      </c>
      <c r="Y12" s="49">
        <f t="shared" si="21"/>
        <v>0</v>
      </c>
      <c r="Z12" s="94">
        <f t="shared" si="22"/>
        <v>0</v>
      </c>
      <c r="AB12" s="48">
        <v>8</v>
      </c>
      <c r="AC12" s="16">
        <f t="shared" si="15"/>
        <v>8</v>
      </c>
      <c r="AD12" s="177">
        <f t="shared" si="33"/>
        <v>240</v>
      </c>
      <c r="AE12" s="49">
        <f t="shared" si="7"/>
        <v>264</v>
      </c>
      <c r="AF12" s="49">
        <v>224</v>
      </c>
      <c r="AG12" s="49">
        <v>246.4</v>
      </c>
      <c r="AH12" s="49">
        <f t="shared" si="23"/>
        <v>17.599999999999994</v>
      </c>
      <c r="AI12" s="94">
        <f t="shared" si="24"/>
        <v>7.1428571428571411E-2</v>
      </c>
      <c r="AK12" s="48">
        <v>8</v>
      </c>
      <c r="AL12" s="16">
        <f t="shared" si="16"/>
        <v>8</v>
      </c>
      <c r="AM12" s="177">
        <f t="shared" si="34"/>
        <v>320</v>
      </c>
      <c r="AN12" s="49">
        <f t="shared" si="9"/>
        <v>352</v>
      </c>
      <c r="AO12" s="49">
        <v>240</v>
      </c>
      <c r="AP12" s="49">
        <v>264</v>
      </c>
      <c r="AQ12" s="49">
        <f t="shared" si="25"/>
        <v>88</v>
      </c>
      <c r="AR12" s="94">
        <f t="shared" si="26"/>
        <v>0.33333333333333331</v>
      </c>
      <c r="AT12" s="48">
        <v>8</v>
      </c>
      <c r="AU12" s="16">
        <f t="shared" si="17"/>
        <v>8</v>
      </c>
      <c r="AV12" s="177">
        <f t="shared" si="35"/>
        <v>432</v>
      </c>
      <c r="AW12" s="49">
        <f t="shared" si="11"/>
        <v>475.2</v>
      </c>
      <c r="AX12" s="2">
        <v>360</v>
      </c>
      <c r="AY12" s="2">
        <v>396</v>
      </c>
      <c r="AZ12" s="49">
        <f t="shared" si="27"/>
        <v>79.199999999999989</v>
      </c>
      <c r="BA12" s="94">
        <f t="shared" si="28"/>
        <v>0.19999999999999998</v>
      </c>
    </row>
    <row r="13" spans="1:53" x14ac:dyDescent="0.3">
      <c r="A13" s="48">
        <v>9</v>
      </c>
      <c r="B13" s="16">
        <f t="shared" si="12"/>
        <v>9</v>
      </c>
      <c r="C13" s="177">
        <f t="shared" si="29"/>
        <v>162</v>
      </c>
      <c r="D13" s="49">
        <f t="shared" si="1"/>
        <v>178.2</v>
      </c>
      <c r="E13" s="2">
        <v>162</v>
      </c>
      <c r="F13" s="49">
        <v>178.2</v>
      </c>
      <c r="G13" s="49">
        <f t="shared" si="18"/>
        <v>0</v>
      </c>
      <c r="H13" s="94">
        <f t="shared" si="30"/>
        <v>0</v>
      </c>
      <c r="J13" s="48">
        <v>9</v>
      </c>
      <c r="K13" s="16">
        <f t="shared" si="13"/>
        <v>9</v>
      </c>
      <c r="L13" s="177">
        <f t="shared" si="31"/>
        <v>180</v>
      </c>
      <c r="M13" s="49">
        <f t="shared" si="3"/>
        <v>198</v>
      </c>
      <c r="N13" s="49">
        <v>180</v>
      </c>
      <c r="O13" s="49">
        <v>198</v>
      </c>
      <c r="P13" s="49">
        <f t="shared" si="19"/>
        <v>0</v>
      </c>
      <c r="Q13" s="94">
        <f t="shared" si="20"/>
        <v>0</v>
      </c>
      <c r="S13" s="48">
        <v>9</v>
      </c>
      <c r="T13" s="16">
        <f t="shared" si="14"/>
        <v>9</v>
      </c>
      <c r="U13" s="177">
        <f t="shared" si="32"/>
        <v>225</v>
      </c>
      <c r="V13" s="49">
        <f t="shared" si="5"/>
        <v>247.5</v>
      </c>
      <c r="W13" s="49">
        <v>225</v>
      </c>
      <c r="X13" s="49">
        <v>247.5</v>
      </c>
      <c r="Y13" s="49">
        <f t="shared" si="21"/>
        <v>0</v>
      </c>
      <c r="Z13" s="94">
        <f t="shared" si="22"/>
        <v>0</v>
      </c>
      <c r="AB13" s="48">
        <v>9</v>
      </c>
      <c r="AC13" s="16">
        <f t="shared" si="15"/>
        <v>9</v>
      </c>
      <c r="AD13" s="177">
        <f t="shared" si="33"/>
        <v>270</v>
      </c>
      <c r="AE13" s="49">
        <f t="shared" si="7"/>
        <v>297</v>
      </c>
      <c r="AF13" s="49">
        <v>252</v>
      </c>
      <c r="AG13" s="49">
        <v>277.2</v>
      </c>
      <c r="AH13" s="49">
        <f t="shared" si="23"/>
        <v>19.800000000000011</v>
      </c>
      <c r="AI13" s="94">
        <f t="shared" si="24"/>
        <v>7.1428571428571466E-2</v>
      </c>
      <c r="AK13" s="48">
        <v>9</v>
      </c>
      <c r="AL13" s="16">
        <f t="shared" si="16"/>
        <v>9</v>
      </c>
      <c r="AM13" s="177">
        <f t="shared" si="34"/>
        <v>360</v>
      </c>
      <c r="AN13" s="49">
        <f t="shared" si="9"/>
        <v>396</v>
      </c>
      <c r="AO13" s="49">
        <v>270</v>
      </c>
      <c r="AP13" s="49">
        <v>297</v>
      </c>
      <c r="AQ13" s="49">
        <f t="shared" si="25"/>
        <v>99</v>
      </c>
      <c r="AR13" s="94">
        <f t="shared" si="26"/>
        <v>0.33333333333333331</v>
      </c>
      <c r="AT13" s="48">
        <v>9</v>
      </c>
      <c r="AU13" s="16">
        <f t="shared" si="17"/>
        <v>9</v>
      </c>
      <c r="AV13" s="177">
        <f t="shared" si="35"/>
        <v>486</v>
      </c>
      <c r="AW13" s="49">
        <f t="shared" si="11"/>
        <v>534.6</v>
      </c>
      <c r="AX13" s="2">
        <v>405</v>
      </c>
      <c r="AY13" s="2">
        <v>445.5</v>
      </c>
      <c r="AZ13" s="49">
        <f t="shared" si="27"/>
        <v>89.100000000000023</v>
      </c>
      <c r="BA13" s="94">
        <f t="shared" si="28"/>
        <v>0.20000000000000004</v>
      </c>
    </row>
    <row r="14" spans="1:53" x14ac:dyDescent="0.3">
      <c r="A14" s="48">
        <v>10</v>
      </c>
      <c r="B14" s="16">
        <f t="shared" si="12"/>
        <v>10</v>
      </c>
      <c r="C14" s="177">
        <f t="shared" si="29"/>
        <v>180</v>
      </c>
      <c r="D14" s="49">
        <f t="shared" si="1"/>
        <v>198</v>
      </c>
      <c r="E14" s="2">
        <v>180</v>
      </c>
      <c r="F14" s="49">
        <v>198</v>
      </c>
      <c r="G14" s="49">
        <f t="shared" si="18"/>
        <v>0</v>
      </c>
      <c r="H14" s="94">
        <f t="shared" si="30"/>
        <v>0</v>
      </c>
      <c r="J14" s="48">
        <v>10</v>
      </c>
      <c r="K14" s="16">
        <f t="shared" si="13"/>
        <v>10</v>
      </c>
      <c r="L14" s="177">
        <f t="shared" si="31"/>
        <v>200</v>
      </c>
      <c r="M14" s="49">
        <f t="shared" si="3"/>
        <v>220</v>
      </c>
      <c r="N14" s="49">
        <v>200</v>
      </c>
      <c r="O14" s="49">
        <v>220</v>
      </c>
      <c r="P14" s="49">
        <f t="shared" si="19"/>
        <v>0</v>
      </c>
      <c r="Q14" s="94">
        <f t="shared" si="20"/>
        <v>0</v>
      </c>
      <c r="S14" s="48">
        <v>10</v>
      </c>
      <c r="T14" s="16">
        <f t="shared" si="14"/>
        <v>10</v>
      </c>
      <c r="U14" s="177">
        <f t="shared" si="32"/>
        <v>250</v>
      </c>
      <c r="V14" s="49">
        <f t="shared" si="5"/>
        <v>275</v>
      </c>
      <c r="W14" s="49">
        <v>250</v>
      </c>
      <c r="X14" s="49">
        <v>275</v>
      </c>
      <c r="Y14" s="49">
        <f t="shared" si="21"/>
        <v>0</v>
      </c>
      <c r="Z14" s="94">
        <f t="shared" si="22"/>
        <v>0</v>
      </c>
      <c r="AB14" s="48">
        <v>10</v>
      </c>
      <c r="AC14" s="16">
        <f t="shared" si="15"/>
        <v>10</v>
      </c>
      <c r="AD14" s="177">
        <f t="shared" si="33"/>
        <v>300</v>
      </c>
      <c r="AE14" s="49">
        <f t="shared" si="7"/>
        <v>330</v>
      </c>
      <c r="AF14" s="49">
        <v>280</v>
      </c>
      <c r="AG14" s="49">
        <v>308</v>
      </c>
      <c r="AH14" s="49">
        <f t="shared" si="23"/>
        <v>22</v>
      </c>
      <c r="AI14" s="94">
        <f t="shared" si="24"/>
        <v>7.1428571428571425E-2</v>
      </c>
      <c r="AK14" s="48">
        <v>10</v>
      </c>
      <c r="AL14" s="16">
        <f t="shared" si="16"/>
        <v>10</v>
      </c>
      <c r="AM14" s="177">
        <f t="shared" si="34"/>
        <v>400</v>
      </c>
      <c r="AN14" s="49">
        <f t="shared" si="9"/>
        <v>440</v>
      </c>
      <c r="AO14" s="49">
        <v>300</v>
      </c>
      <c r="AP14" s="49">
        <v>330</v>
      </c>
      <c r="AQ14" s="49">
        <f t="shared" si="25"/>
        <v>110</v>
      </c>
      <c r="AR14" s="94">
        <f t="shared" si="26"/>
        <v>0.33333333333333331</v>
      </c>
      <c r="AT14" s="48">
        <v>10</v>
      </c>
      <c r="AU14" s="16">
        <f t="shared" si="17"/>
        <v>10</v>
      </c>
      <c r="AV14" s="177">
        <f t="shared" si="35"/>
        <v>540</v>
      </c>
      <c r="AW14" s="49">
        <f t="shared" si="11"/>
        <v>594</v>
      </c>
      <c r="AX14" s="2">
        <v>450</v>
      </c>
      <c r="AY14" s="2">
        <v>495</v>
      </c>
      <c r="AZ14" s="49">
        <f t="shared" si="27"/>
        <v>99</v>
      </c>
      <c r="BA14" s="94">
        <f t="shared" si="28"/>
        <v>0.2</v>
      </c>
    </row>
    <row r="15" spans="1:53" x14ac:dyDescent="0.3">
      <c r="A15" s="48">
        <v>11</v>
      </c>
      <c r="B15" s="16">
        <f t="shared" si="12"/>
        <v>11</v>
      </c>
      <c r="C15" s="177">
        <f t="shared" si="29"/>
        <v>198</v>
      </c>
      <c r="D15" s="49">
        <f t="shared" si="1"/>
        <v>217.8</v>
      </c>
      <c r="E15" s="2">
        <v>198</v>
      </c>
      <c r="F15" s="49">
        <v>217.8</v>
      </c>
      <c r="G15" s="49">
        <f t="shared" si="18"/>
        <v>0</v>
      </c>
      <c r="H15" s="94">
        <f t="shared" si="30"/>
        <v>0</v>
      </c>
      <c r="J15" s="48">
        <v>11</v>
      </c>
      <c r="K15" s="16">
        <f t="shared" si="13"/>
        <v>11</v>
      </c>
      <c r="L15" s="177">
        <f t="shared" si="31"/>
        <v>220</v>
      </c>
      <c r="M15" s="49">
        <f t="shared" si="3"/>
        <v>242</v>
      </c>
      <c r="N15" s="49">
        <v>220</v>
      </c>
      <c r="O15" s="49">
        <v>242</v>
      </c>
      <c r="P15" s="49">
        <f t="shared" si="19"/>
        <v>0</v>
      </c>
      <c r="Q15" s="94">
        <f t="shared" si="20"/>
        <v>0</v>
      </c>
      <c r="S15" s="48">
        <v>11</v>
      </c>
      <c r="T15" s="16">
        <f t="shared" si="14"/>
        <v>11</v>
      </c>
      <c r="U15" s="177">
        <f t="shared" si="32"/>
        <v>275</v>
      </c>
      <c r="V15" s="49">
        <f t="shared" si="5"/>
        <v>302.5</v>
      </c>
      <c r="W15" s="49">
        <v>275</v>
      </c>
      <c r="X15" s="49">
        <v>302.5</v>
      </c>
      <c r="Y15" s="49">
        <f t="shared" si="21"/>
        <v>0</v>
      </c>
      <c r="Z15" s="94">
        <f t="shared" si="22"/>
        <v>0</v>
      </c>
      <c r="AB15" s="48">
        <v>11</v>
      </c>
      <c r="AC15" s="16">
        <f t="shared" si="15"/>
        <v>11</v>
      </c>
      <c r="AD15" s="177">
        <f t="shared" si="33"/>
        <v>330</v>
      </c>
      <c r="AE15" s="49">
        <f t="shared" si="7"/>
        <v>363</v>
      </c>
      <c r="AF15" s="49">
        <v>308</v>
      </c>
      <c r="AG15" s="49">
        <v>338.8</v>
      </c>
      <c r="AH15" s="49">
        <f t="shared" si="23"/>
        <v>24.199999999999989</v>
      </c>
      <c r="AI15" s="94">
        <f t="shared" si="24"/>
        <v>7.1428571428571397E-2</v>
      </c>
      <c r="AK15" s="48">
        <v>11</v>
      </c>
      <c r="AL15" s="16">
        <f t="shared" si="16"/>
        <v>11</v>
      </c>
      <c r="AM15" s="177">
        <f t="shared" si="34"/>
        <v>440</v>
      </c>
      <c r="AN15" s="49">
        <f t="shared" si="9"/>
        <v>484</v>
      </c>
      <c r="AO15" s="49">
        <v>330</v>
      </c>
      <c r="AP15" s="49">
        <v>363</v>
      </c>
      <c r="AQ15" s="49">
        <f t="shared" si="25"/>
        <v>121</v>
      </c>
      <c r="AR15" s="94">
        <f t="shared" si="26"/>
        <v>0.33333333333333331</v>
      </c>
      <c r="AT15" s="48">
        <v>11</v>
      </c>
      <c r="AU15" s="16">
        <f t="shared" si="17"/>
        <v>11</v>
      </c>
      <c r="AV15" s="177">
        <f t="shared" si="35"/>
        <v>594</v>
      </c>
      <c r="AW15" s="49">
        <f t="shared" si="11"/>
        <v>653.4</v>
      </c>
      <c r="AX15" s="2">
        <v>495</v>
      </c>
      <c r="AY15" s="2">
        <v>544.5</v>
      </c>
      <c r="AZ15" s="49">
        <f t="shared" si="27"/>
        <v>108.89999999999998</v>
      </c>
      <c r="BA15" s="94">
        <f t="shared" si="28"/>
        <v>0.19999999999999996</v>
      </c>
    </row>
    <row r="16" spans="1:53" x14ac:dyDescent="0.3">
      <c r="A16" s="48">
        <v>12</v>
      </c>
      <c r="B16" s="16">
        <f t="shared" si="12"/>
        <v>12</v>
      </c>
      <c r="C16" s="177">
        <f t="shared" si="29"/>
        <v>216</v>
      </c>
      <c r="D16" s="49">
        <f t="shared" si="1"/>
        <v>237.6</v>
      </c>
      <c r="E16" s="2">
        <v>216</v>
      </c>
      <c r="F16" s="49">
        <v>237.6</v>
      </c>
      <c r="G16" s="49">
        <f t="shared" si="18"/>
        <v>0</v>
      </c>
      <c r="H16" s="94">
        <f t="shared" si="30"/>
        <v>0</v>
      </c>
      <c r="J16" s="48">
        <v>12</v>
      </c>
      <c r="K16" s="16">
        <f t="shared" si="13"/>
        <v>12</v>
      </c>
      <c r="L16" s="177">
        <f t="shared" si="31"/>
        <v>240</v>
      </c>
      <c r="M16" s="49">
        <f t="shared" si="3"/>
        <v>264</v>
      </c>
      <c r="N16" s="49">
        <v>240</v>
      </c>
      <c r="O16" s="49">
        <v>264</v>
      </c>
      <c r="P16" s="49">
        <f t="shared" si="19"/>
        <v>0</v>
      </c>
      <c r="Q16" s="94">
        <f t="shared" si="20"/>
        <v>0</v>
      </c>
      <c r="S16" s="48">
        <v>12</v>
      </c>
      <c r="T16" s="16">
        <f t="shared" si="14"/>
        <v>12</v>
      </c>
      <c r="U16" s="177">
        <f t="shared" si="32"/>
        <v>300</v>
      </c>
      <c r="V16" s="49">
        <f t="shared" si="5"/>
        <v>330</v>
      </c>
      <c r="W16" s="49">
        <v>300</v>
      </c>
      <c r="X16" s="49">
        <v>330</v>
      </c>
      <c r="Y16" s="49">
        <f t="shared" si="21"/>
        <v>0</v>
      </c>
      <c r="Z16" s="94">
        <f t="shared" si="22"/>
        <v>0</v>
      </c>
      <c r="AB16" s="48">
        <v>12</v>
      </c>
      <c r="AC16" s="16">
        <f t="shared" si="15"/>
        <v>12</v>
      </c>
      <c r="AD16" s="177">
        <f t="shared" si="33"/>
        <v>360</v>
      </c>
      <c r="AE16" s="49">
        <f t="shared" si="7"/>
        <v>396</v>
      </c>
      <c r="AF16" s="49">
        <v>336</v>
      </c>
      <c r="AG16" s="49">
        <v>369.6</v>
      </c>
      <c r="AH16" s="49">
        <f t="shared" si="23"/>
        <v>26.399999999999977</v>
      </c>
      <c r="AI16" s="94">
        <f t="shared" si="24"/>
        <v>7.1428571428571369E-2</v>
      </c>
      <c r="AK16" s="48">
        <v>12</v>
      </c>
      <c r="AL16" s="16">
        <f t="shared" si="16"/>
        <v>12</v>
      </c>
      <c r="AM16" s="177">
        <f t="shared" si="34"/>
        <v>480</v>
      </c>
      <c r="AN16" s="49">
        <f t="shared" si="9"/>
        <v>528</v>
      </c>
      <c r="AO16" s="49">
        <v>360</v>
      </c>
      <c r="AP16" s="49">
        <v>396</v>
      </c>
      <c r="AQ16" s="49">
        <f t="shared" si="25"/>
        <v>132</v>
      </c>
      <c r="AR16" s="94">
        <f t="shared" si="26"/>
        <v>0.33333333333333331</v>
      </c>
      <c r="AT16" s="48">
        <v>12</v>
      </c>
      <c r="AU16" s="16">
        <f t="shared" si="17"/>
        <v>12</v>
      </c>
      <c r="AV16" s="177">
        <f t="shared" si="35"/>
        <v>648</v>
      </c>
      <c r="AW16" s="49">
        <f t="shared" si="11"/>
        <v>712.8</v>
      </c>
      <c r="AX16" s="2">
        <v>540</v>
      </c>
      <c r="AY16" s="2">
        <v>594</v>
      </c>
      <c r="AZ16" s="49">
        <f t="shared" si="27"/>
        <v>118.79999999999995</v>
      </c>
      <c r="BA16" s="94">
        <f t="shared" si="28"/>
        <v>0.19999999999999993</v>
      </c>
    </row>
    <row r="17" spans="1:53" x14ac:dyDescent="0.3">
      <c r="A17" s="48">
        <v>13</v>
      </c>
      <c r="B17" s="16">
        <f t="shared" si="12"/>
        <v>13</v>
      </c>
      <c r="C17" s="177">
        <f t="shared" si="29"/>
        <v>234</v>
      </c>
      <c r="D17" s="49">
        <f t="shared" si="1"/>
        <v>257.39999999999998</v>
      </c>
      <c r="E17" s="2">
        <v>234</v>
      </c>
      <c r="F17" s="49">
        <v>257.39999999999998</v>
      </c>
      <c r="G17" s="49">
        <f t="shared" si="18"/>
        <v>0</v>
      </c>
      <c r="H17" s="94">
        <f t="shared" si="30"/>
        <v>0</v>
      </c>
      <c r="J17" s="48">
        <v>13</v>
      </c>
      <c r="K17" s="16">
        <f t="shared" si="13"/>
        <v>13</v>
      </c>
      <c r="L17" s="177">
        <f t="shared" si="31"/>
        <v>260</v>
      </c>
      <c r="M17" s="49">
        <f t="shared" si="3"/>
        <v>286</v>
      </c>
      <c r="N17" s="49">
        <v>260</v>
      </c>
      <c r="O17" s="49">
        <v>286</v>
      </c>
      <c r="P17" s="49">
        <f t="shared" si="19"/>
        <v>0</v>
      </c>
      <c r="Q17" s="94">
        <f t="shared" si="20"/>
        <v>0</v>
      </c>
      <c r="S17" s="48">
        <v>13</v>
      </c>
      <c r="T17" s="16">
        <f t="shared" si="14"/>
        <v>13</v>
      </c>
      <c r="U17" s="177">
        <f t="shared" si="32"/>
        <v>325</v>
      </c>
      <c r="V17" s="49">
        <f t="shared" si="5"/>
        <v>357.5</v>
      </c>
      <c r="W17" s="49">
        <v>325</v>
      </c>
      <c r="X17" s="49">
        <v>357.5</v>
      </c>
      <c r="Y17" s="49">
        <f t="shared" si="21"/>
        <v>0</v>
      </c>
      <c r="Z17" s="94">
        <f t="shared" si="22"/>
        <v>0</v>
      </c>
      <c r="AB17" s="48">
        <v>13</v>
      </c>
      <c r="AC17" s="16">
        <f t="shared" si="15"/>
        <v>13</v>
      </c>
      <c r="AD17" s="177">
        <f t="shared" si="33"/>
        <v>390</v>
      </c>
      <c r="AE17" s="49">
        <f t="shared" si="7"/>
        <v>429</v>
      </c>
      <c r="AF17" s="49">
        <v>364</v>
      </c>
      <c r="AG17" s="49">
        <v>400.4</v>
      </c>
      <c r="AH17" s="49">
        <f t="shared" si="23"/>
        <v>28.600000000000023</v>
      </c>
      <c r="AI17" s="94">
        <f t="shared" si="24"/>
        <v>7.1428571428571494E-2</v>
      </c>
      <c r="AK17" s="48">
        <v>13</v>
      </c>
      <c r="AL17" s="16">
        <f t="shared" si="16"/>
        <v>13</v>
      </c>
      <c r="AM17" s="177">
        <f t="shared" si="34"/>
        <v>520</v>
      </c>
      <c r="AN17" s="49">
        <f t="shared" si="9"/>
        <v>572</v>
      </c>
      <c r="AO17" s="49">
        <v>390</v>
      </c>
      <c r="AP17" s="49">
        <v>429</v>
      </c>
      <c r="AQ17" s="49">
        <f t="shared" si="25"/>
        <v>143</v>
      </c>
      <c r="AR17" s="94">
        <f t="shared" si="26"/>
        <v>0.33333333333333331</v>
      </c>
      <c r="AT17" s="48">
        <v>13</v>
      </c>
      <c r="AU17" s="16">
        <f t="shared" si="17"/>
        <v>13</v>
      </c>
      <c r="AV17" s="177">
        <f t="shared" si="35"/>
        <v>702</v>
      </c>
      <c r="AW17" s="49">
        <f t="shared" si="11"/>
        <v>772.2</v>
      </c>
      <c r="AX17" s="2">
        <v>585</v>
      </c>
      <c r="AY17" s="2">
        <v>643.5</v>
      </c>
      <c r="AZ17" s="49">
        <f t="shared" si="27"/>
        <v>128.70000000000005</v>
      </c>
      <c r="BA17" s="94">
        <f t="shared" si="28"/>
        <v>0.20000000000000007</v>
      </c>
    </row>
    <row r="18" spans="1:53" x14ac:dyDescent="0.3">
      <c r="A18" s="48">
        <v>14</v>
      </c>
      <c r="B18" s="16">
        <f t="shared" si="12"/>
        <v>14</v>
      </c>
      <c r="C18" s="177">
        <f t="shared" si="29"/>
        <v>252</v>
      </c>
      <c r="D18" s="49">
        <f t="shared" si="1"/>
        <v>277.2</v>
      </c>
      <c r="E18" s="2">
        <v>252</v>
      </c>
      <c r="F18" s="49">
        <v>277.2</v>
      </c>
      <c r="G18" s="49">
        <f t="shared" si="18"/>
        <v>0</v>
      </c>
      <c r="H18" s="94">
        <f t="shared" si="30"/>
        <v>0</v>
      </c>
      <c r="J18" s="48">
        <v>14</v>
      </c>
      <c r="K18" s="16">
        <f t="shared" si="13"/>
        <v>14</v>
      </c>
      <c r="L18" s="177">
        <f t="shared" si="31"/>
        <v>280</v>
      </c>
      <c r="M18" s="49">
        <f t="shared" si="3"/>
        <v>308</v>
      </c>
      <c r="N18" s="49">
        <v>280</v>
      </c>
      <c r="O18" s="49">
        <v>308</v>
      </c>
      <c r="P18" s="49">
        <f t="shared" si="19"/>
        <v>0</v>
      </c>
      <c r="Q18" s="94">
        <f t="shared" si="20"/>
        <v>0</v>
      </c>
      <c r="S18" s="48">
        <v>14</v>
      </c>
      <c r="T18" s="16">
        <f t="shared" si="14"/>
        <v>14</v>
      </c>
      <c r="U18" s="177">
        <f t="shared" si="32"/>
        <v>350</v>
      </c>
      <c r="V18" s="49">
        <f t="shared" si="5"/>
        <v>385</v>
      </c>
      <c r="W18" s="49">
        <v>350</v>
      </c>
      <c r="X18" s="49">
        <v>385</v>
      </c>
      <c r="Y18" s="49">
        <f t="shared" si="21"/>
        <v>0</v>
      </c>
      <c r="Z18" s="94">
        <f t="shared" si="22"/>
        <v>0</v>
      </c>
      <c r="AB18" s="48">
        <v>14</v>
      </c>
      <c r="AC18" s="16">
        <f t="shared" si="15"/>
        <v>14</v>
      </c>
      <c r="AD18" s="177">
        <f t="shared" si="33"/>
        <v>420</v>
      </c>
      <c r="AE18" s="49">
        <f t="shared" si="7"/>
        <v>462</v>
      </c>
      <c r="AF18" s="49">
        <v>392</v>
      </c>
      <c r="AG18" s="49">
        <v>431.2</v>
      </c>
      <c r="AH18" s="49">
        <f t="shared" si="23"/>
        <v>30.800000000000011</v>
      </c>
      <c r="AI18" s="94">
        <f t="shared" si="24"/>
        <v>7.1428571428571452E-2</v>
      </c>
      <c r="AK18" s="48">
        <v>14</v>
      </c>
      <c r="AL18" s="16">
        <f t="shared" si="16"/>
        <v>14</v>
      </c>
      <c r="AM18" s="177">
        <f t="shared" si="34"/>
        <v>560</v>
      </c>
      <c r="AN18" s="49">
        <f t="shared" si="9"/>
        <v>616</v>
      </c>
      <c r="AO18" s="49">
        <v>420</v>
      </c>
      <c r="AP18" s="49">
        <v>462</v>
      </c>
      <c r="AQ18" s="49">
        <f t="shared" si="25"/>
        <v>154</v>
      </c>
      <c r="AR18" s="94">
        <f t="shared" si="26"/>
        <v>0.33333333333333331</v>
      </c>
      <c r="AT18" s="48">
        <v>14</v>
      </c>
      <c r="AU18" s="16">
        <f t="shared" si="17"/>
        <v>14</v>
      </c>
      <c r="AV18" s="177">
        <f t="shared" si="35"/>
        <v>756</v>
      </c>
      <c r="AW18" s="49">
        <f t="shared" si="11"/>
        <v>831.6</v>
      </c>
      <c r="AX18" s="2">
        <v>630</v>
      </c>
      <c r="AY18" s="2">
        <v>693</v>
      </c>
      <c r="AZ18" s="49">
        <f t="shared" si="27"/>
        <v>138.60000000000002</v>
      </c>
      <c r="BA18" s="94">
        <f t="shared" si="28"/>
        <v>0.20000000000000004</v>
      </c>
    </row>
    <row r="19" spans="1:53" x14ac:dyDescent="0.3">
      <c r="A19" s="48">
        <v>15</v>
      </c>
      <c r="B19" s="16">
        <f t="shared" si="12"/>
        <v>15</v>
      </c>
      <c r="C19" s="177">
        <f t="shared" si="29"/>
        <v>270</v>
      </c>
      <c r="D19" s="49">
        <f t="shared" si="1"/>
        <v>297</v>
      </c>
      <c r="E19" s="2">
        <v>270</v>
      </c>
      <c r="F19" s="49">
        <v>297</v>
      </c>
      <c r="G19" s="49">
        <f t="shared" si="18"/>
        <v>0</v>
      </c>
      <c r="H19" s="94">
        <f t="shared" si="30"/>
        <v>0</v>
      </c>
      <c r="J19" s="48">
        <v>15</v>
      </c>
      <c r="K19" s="16">
        <f t="shared" si="13"/>
        <v>15</v>
      </c>
      <c r="L19" s="177">
        <f t="shared" si="31"/>
        <v>300</v>
      </c>
      <c r="M19" s="49">
        <f t="shared" si="3"/>
        <v>330</v>
      </c>
      <c r="N19" s="49">
        <v>300</v>
      </c>
      <c r="O19" s="49">
        <v>330</v>
      </c>
      <c r="P19" s="49">
        <f t="shared" si="19"/>
        <v>0</v>
      </c>
      <c r="Q19" s="94">
        <f t="shared" si="20"/>
        <v>0</v>
      </c>
      <c r="S19" s="48">
        <v>15</v>
      </c>
      <c r="T19" s="16">
        <f t="shared" si="14"/>
        <v>15</v>
      </c>
      <c r="U19" s="177">
        <f t="shared" si="32"/>
        <v>375</v>
      </c>
      <c r="V19" s="49">
        <f t="shared" si="5"/>
        <v>412.5</v>
      </c>
      <c r="W19" s="49">
        <v>375</v>
      </c>
      <c r="X19" s="49">
        <v>412.5</v>
      </c>
      <c r="Y19" s="49">
        <f t="shared" si="21"/>
        <v>0</v>
      </c>
      <c r="Z19" s="94">
        <f t="shared" si="22"/>
        <v>0</v>
      </c>
      <c r="AB19" s="48">
        <v>15</v>
      </c>
      <c r="AC19" s="16">
        <f t="shared" si="15"/>
        <v>15</v>
      </c>
      <c r="AD19" s="177">
        <f t="shared" si="33"/>
        <v>450</v>
      </c>
      <c r="AE19" s="49">
        <f t="shared" si="7"/>
        <v>495</v>
      </c>
      <c r="AF19" s="49">
        <v>420</v>
      </c>
      <c r="AG19" s="49">
        <v>462</v>
      </c>
      <c r="AH19" s="49">
        <f t="shared" si="23"/>
        <v>33</v>
      </c>
      <c r="AI19" s="94">
        <f t="shared" si="24"/>
        <v>7.1428571428571425E-2</v>
      </c>
      <c r="AK19" s="48">
        <v>15</v>
      </c>
      <c r="AL19" s="16">
        <f t="shared" si="16"/>
        <v>15</v>
      </c>
      <c r="AM19" s="177">
        <f t="shared" si="34"/>
        <v>600</v>
      </c>
      <c r="AN19" s="49">
        <f t="shared" si="9"/>
        <v>660</v>
      </c>
      <c r="AO19" s="49">
        <v>450</v>
      </c>
      <c r="AP19" s="49">
        <v>495</v>
      </c>
      <c r="AQ19" s="49">
        <f t="shared" si="25"/>
        <v>165</v>
      </c>
      <c r="AR19" s="94">
        <f t="shared" si="26"/>
        <v>0.33333333333333331</v>
      </c>
      <c r="AT19" s="48">
        <v>15</v>
      </c>
      <c r="AU19" s="16">
        <f t="shared" si="17"/>
        <v>15</v>
      </c>
      <c r="AV19" s="177">
        <f t="shared" si="35"/>
        <v>810</v>
      </c>
      <c r="AW19" s="49">
        <f t="shared" si="11"/>
        <v>891</v>
      </c>
      <c r="AX19" s="2">
        <v>675</v>
      </c>
      <c r="AY19" s="2">
        <v>742.5</v>
      </c>
      <c r="AZ19" s="49">
        <f t="shared" si="27"/>
        <v>148.5</v>
      </c>
      <c r="BA19" s="94">
        <f t="shared" si="28"/>
        <v>0.2</v>
      </c>
    </row>
    <row r="20" spans="1:53" x14ac:dyDescent="0.3">
      <c r="A20" s="48">
        <v>16</v>
      </c>
      <c r="B20" s="16">
        <f t="shared" si="12"/>
        <v>16</v>
      </c>
      <c r="C20" s="177">
        <f t="shared" si="29"/>
        <v>288</v>
      </c>
      <c r="D20" s="49">
        <f t="shared" si="1"/>
        <v>316.8</v>
      </c>
      <c r="E20" s="2">
        <v>288</v>
      </c>
      <c r="F20" s="49">
        <v>316.8</v>
      </c>
      <c r="G20" s="49">
        <f t="shared" si="18"/>
        <v>0</v>
      </c>
      <c r="H20" s="94">
        <f t="shared" si="30"/>
        <v>0</v>
      </c>
      <c r="J20" s="48">
        <v>16</v>
      </c>
      <c r="K20" s="16">
        <f t="shared" si="13"/>
        <v>16</v>
      </c>
      <c r="L20" s="177">
        <f t="shared" si="31"/>
        <v>320</v>
      </c>
      <c r="M20" s="49">
        <f t="shared" si="3"/>
        <v>352</v>
      </c>
      <c r="N20" s="49">
        <v>320</v>
      </c>
      <c r="O20" s="49">
        <v>352</v>
      </c>
      <c r="P20" s="49">
        <f t="shared" si="19"/>
        <v>0</v>
      </c>
      <c r="Q20" s="94">
        <f t="shared" si="20"/>
        <v>0</v>
      </c>
      <c r="S20" s="48">
        <v>16</v>
      </c>
      <c r="T20" s="16">
        <f t="shared" si="14"/>
        <v>16</v>
      </c>
      <c r="U20" s="177">
        <f t="shared" si="32"/>
        <v>400</v>
      </c>
      <c r="V20" s="49">
        <f t="shared" si="5"/>
        <v>440</v>
      </c>
      <c r="W20" s="49">
        <v>400</v>
      </c>
      <c r="X20" s="49">
        <v>440</v>
      </c>
      <c r="Y20" s="49">
        <f t="shared" si="21"/>
        <v>0</v>
      </c>
      <c r="Z20" s="94">
        <f t="shared" si="22"/>
        <v>0</v>
      </c>
      <c r="AB20" s="48">
        <v>16</v>
      </c>
      <c r="AC20" s="16">
        <f t="shared" si="15"/>
        <v>16</v>
      </c>
      <c r="AD20" s="177">
        <f t="shared" si="33"/>
        <v>480</v>
      </c>
      <c r="AE20" s="49">
        <f t="shared" si="7"/>
        <v>528</v>
      </c>
      <c r="AF20" s="49">
        <v>448</v>
      </c>
      <c r="AG20" s="49">
        <v>492.8</v>
      </c>
      <c r="AH20" s="49">
        <f t="shared" si="23"/>
        <v>35.199999999999989</v>
      </c>
      <c r="AI20" s="94">
        <f t="shared" si="24"/>
        <v>7.1428571428571411E-2</v>
      </c>
      <c r="AK20" s="48">
        <v>16</v>
      </c>
      <c r="AL20" s="16">
        <f t="shared" si="16"/>
        <v>16</v>
      </c>
      <c r="AM20" s="177">
        <f t="shared" si="34"/>
        <v>640</v>
      </c>
      <c r="AN20" s="49">
        <f t="shared" si="9"/>
        <v>704</v>
      </c>
      <c r="AO20" s="49">
        <v>480</v>
      </c>
      <c r="AP20" s="49">
        <v>528</v>
      </c>
      <c r="AQ20" s="49">
        <f t="shared" si="25"/>
        <v>176</v>
      </c>
      <c r="AR20" s="94">
        <f t="shared" si="26"/>
        <v>0.33333333333333331</v>
      </c>
      <c r="AT20" s="48">
        <v>16</v>
      </c>
      <c r="AU20" s="16">
        <f t="shared" si="17"/>
        <v>16</v>
      </c>
      <c r="AV20" s="177">
        <f t="shared" si="35"/>
        <v>864</v>
      </c>
      <c r="AW20" s="49">
        <f t="shared" si="11"/>
        <v>950.4</v>
      </c>
      <c r="AX20" s="2">
        <v>720</v>
      </c>
      <c r="AY20" s="2">
        <v>792</v>
      </c>
      <c r="AZ20" s="49">
        <f t="shared" si="27"/>
        <v>158.39999999999998</v>
      </c>
      <c r="BA20" s="94">
        <f t="shared" si="28"/>
        <v>0.19999999999999998</v>
      </c>
    </row>
    <row r="21" spans="1:53" x14ac:dyDescent="0.3">
      <c r="A21" s="48">
        <v>17</v>
      </c>
      <c r="B21" s="16">
        <f t="shared" si="12"/>
        <v>17</v>
      </c>
      <c r="C21" s="177">
        <f t="shared" si="29"/>
        <v>306</v>
      </c>
      <c r="D21" s="49">
        <f t="shared" si="1"/>
        <v>336.6</v>
      </c>
      <c r="E21" s="2">
        <v>306</v>
      </c>
      <c r="F21" s="49">
        <v>336.6</v>
      </c>
      <c r="G21" s="49">
        <f t="shared" si="18"/>
        <v>0</v>
      </c>
      <c r="H21" s="94">
        <f t="shared" si="30"/>
        <v>0</v>
      </c>
      <c r="J21" s="48">
        <v>17</v>
      </c>
      <c r="K21" s="16">
        <f t="shared" si="13"/>
        <v>17</v>
      </c>
      <c r="L21" s="177">
        <f t="shared" si="31"/>
        <v>340</v>
      </c>
      <c r="M21" s="49">
        <f t="shared" si="3"/>
        <v>374</v>
      </c>
      <c r="N21" s="49">
        <v>340</v>
      </c>
      <c r="O21" s="49">
        <v>374</v>
      </c>
      <c r="P21" s="49">
        <f t="shared" si="19"/>
        <v>0</v>
      </c>
      <c r="Q21" s="94">
        <f t="shared" si="20"/>
        <v>0</v>
      </c>
      <c r="S21" s="48">
        <v>17</v>
      </c>
      <c r="T21" s="16">
        <f t="shared" si="14"/>
        <v>17</v>
      </c>
      <c r="U21" s="177">
        <f t="shared" si="32"/>
        <v>425</v>
      </c>
      <c r="V21" s="49">
        <f t="shared" si="5"/>
        <v>467.5</v>
      </c>
      <c r="W21" s="49">
        <v>425</v>
      </c>
      <c r="X21" s="49">
        <v>467.5</v>
      </c>
      <c r="Y21" s="49">
        <f t="shared" si="21"/>
        <v>0</v>
      </c>
      <c r="Z21" s="94">
        <f t="shared" si="22"/>
        <v>0</v>
      </c>
      <c r="AB21" s="48">
        <v>17</v>
      </c>
      <c r="AC21" s="16">
        <f t="shared" si="15"/>
        <v>17</v>
      </c>
      <c r="AD21" s="177">
        <f t="shared" si="33"/>
        <v>510</v>
      </c>
      <c r="AE21" s="49">
        <f t="shared" si="7"/>
        <v>561</v>
      </c>
      <c r="AF21" s="49">
        <v>476</v>
      </c>
      <c r="AG21" s="49">
        <v>523.6</v>
      </c>
      <c r="AH21" s="49">
        <f t="shared" si="23"/>
        <v>37.399999999999977</v>
      </c>
      <c r="AI21" s="94">
        <f t="shared" si="24"/>
        <v>7.1428571428571383E-2</v>
      </c>
      <c r="AK21" s="48">
        <v>17</v>
      </c>
      <c r="AL21" s="16">
        <f t="shared" si="16"/>
        <v>17</v>
      </c>
      <c r="AM21" s="177">
        <f t="shared" si="34"/>
        <v>680</v>
      </c>
      <c r="AN21" s="49">
        <f t="shared" si="9"/>
        <v>748</v>
      </c>
      <c r="AO21" s="49">
        <v>510</v>
      </c>
      <c r="AP21" s="49">
        <v>561</v>
      </c>
      <c r="AQ21" s="49">
        <f t="shared" si="25"/>
        <v>187</v>
      </c>
      <c r="AR21" s="94">
        <f t="shared" si="26"/>
        <v>0.33333333333333331</v>
      </c>
      <c r="AT21" s="48">
        <v>17</v>
      </c>
      <c r="AU21" s="16">
        <f t="shared" si="17"/>
        <v>17</v>
      </c>
      <c r="AV21" s="177">
        <f t="shared" si="35"/>
        <v>918</v>
      </c>
      <c r="AW21" s="49">
        <f t="shared" si="11"/>
        <v>1009.8</v>
      </c>
      <c r="AX21" s="2">
        <v>765</v>
      </c>
      <c r="AY21" s="2">
        <v>841.5</v>
      </c>
      <c r="AZ21" s="49">
        <f t="shared" si="27"/>
        <v>168.29999999999995</v>
      </c>
      <c r="BA21" s="94">
        <f t="shared" si="28"/>
        <v>0.19999999999999996</v>
      </c>
    </row>
    <row r="22" spans="1:53" x14ac:dyDescent="0.3">
      <c r="A22" s="48">
        <v>18</v>
      </c>
      <c r="B22" s="16">
        <f t="shared" si="12"/>
        <v>18</v>
      </c>
      <c r="C22" s="177">
        <f t="shared" si="29"/>
        <v>324</v>
      </c>
      <c r="D22" s="49">
        <f t="shared" si="1"/>
        <v>356.4</v>
      </c>
      <c r="E22" s="2">
        <v>324</v>
      </c>
      <c r="F22" s="49">
        <v>356.4</v>
      </c>
      <c r="G22" s="49">
        <f t="shared" si="18"/>
        <v>0</v>
      </c>
      <c r="H22" s="94">
        <f t="shared" si="30"/>
        <v>0</v>
      </c>
      <c r="J22" s="48">
        <v>18</v>
      </c>
      <c r="K22" s="16">
        <f t="shared" si="13"/>
        <v>18</v>
      </c>
      <c r="L22" s="177">
        <f t="shared" si="31"/>
        <v>360</v>
      </c>
      <c r="M22" s="49">
        <f t="shared" si="3"/>
        <v>396</v>
      </c>
      <c r="N22" s="49">
        <v>360</v>
      </c>
      <c r="O22" s="49">
        <v>396</v>
      </c>
      <c r="P22" s="49">
        <f t="shared" si="19"/>
        <v>0</v>
      </c>
      <c r="Q22" s="94">
        <f t="shared" si="20"/>
        <v>0</v>
      </c>
      <c r="S22" s="48">
        <v>18</v>
      </c>
      <c r="T22" s="16">
        <f t="shared" si="14"/>
        <v>18</v>
      </c>
      <c r="U22" s="177">
        <f t="shared" si="32"/>
        <v>450</v>
      </c>
      <c r="V22" s="49">
        <f t="shared" si="5"/>
        <v>495</v>
      </c>
      <c r="W22" s="49">
        <v>450</v>
      </c>
      <c r="X22" s="49">
        <v>495</v>
      </c>
      <c r="Y22" s="49">
        <f t="shared" si="21"/>
        <v>0</v>
      </c>
      <c r="Z22" s="94">
        <f t="shared" si="22"/>
        <v>0</v>
      </c>
      <c r="AB22" s="48">
        <v>18</v>
      </c>
      <c r="AC22" s="16">
        <f t="shared" si="15"/>
        <v>18</v>
      </c>
      <c r="AD22" s="177">
        <f t="shared" si="33"/>
        <v>540</v>
      </c>
      <c r="AE22" s="49">
        <f t="shared" si="7"/>
        <v>594</v>
      </c>
      <c r="AF22" s="49">
        <v>504</v>
      </c>
      <c r="AG22" s="49">
        <v>554.4</v>
      </c>
      <c r="AH22" s="49">
        <f t="shared" si="23"/>
        <v>39.600000000000023</v>
      </c>
      <c r="AI22" s="94">
        <f t="shared" si="24"/>
        <v>7.1428571428571466E-2</v>
      </c>
      <c r="AK22" s="48">
        <v>18</v>
      </c>
      <c r="AL22" s="16">
        <f t="shared" si="16"/>
        <v>18</v>
      </c>
      <c r="AM22" s="177">
        <f t="shared" si="34"/>
        <v>720</v>
      </c>
      <c r="AN22" s="49">
        <f t="shared" si="9"/>
        <v>792</v>
      </c>
      <c r="AO22" s="49">
        <v>540</v>
      </c>
      <c r="AP22" s="49">
        <v>594</v>
      </c>
      <c r="AQ22" s="49">
        <f t="shared" si="25"/>
        <v>198</v>
      </c>
      <c r="AR22" s="94">
        <f t="shared" si="26"/>
        <v>0.33333333333333331</v>
      </c>
      <c r="AT22" s="48">
        <v>18</v>
      </c>
      <c r="AU22" s="16">
        <f t="shared" si="17"/>
        <v>18</v>
      </c>
      <c r="AV22" s="177">
        <f t="shared" si="35"/>
        <v>972</v>
      </c>
      <c r="AW22" s="49">
        <f t="shared" si="11"/>
        <v>1069.2</v>
      </c>
      <c r="AX22" s="2">
        <v>810</v>
      </c>
      <c r="AY22" s="2">
        <v>891</v>
      </c>
      <c r="AZ22" s="49">
        <f t="shared" si="27"/>
        <v>178.20000000000005</v>
      </c>
      <c r="BA22" s="94">
        <f t="shared" si="28"/>
        <v>0.20000000000000004</v>
      </c>
    </row>
    <row r="23" spans="1:53" x14ac:dyDescent="0.3">
      <c r="A23" s="48">
        <v>19</v>
      </c>
      <c r="B23" s="16">
        <f t="shared" si="12"/>
        <v>19</v>
      </c>
      <c r="C23" s="177">
        <f t="shared" si="29"/>
        <v>342</v>
      </c>
      <c r="D23" s="49">
        <f t="shared" si="1"/>
        <v>376.2</v>
      </c>
      <c r="E23" s="2">
        <v>342</v>
      </c>
      <c r="F23" s="49">
        <v>376.2</v>
      </c>
      <c r="G23" s="49">
        <f t="shared" si="18"/>
        <v>0</v>
      </c>
      <c r="H23" s="94">
        <f t="shared" si="30"/>
        <v>0</v>
      </c>
      <c r="J23" s="48">
        <v>19</v>
      </c>
      <c r="K23" s="16">
        <f t="shared" si="13"/>
        <v>19</v>
      </c>
      <c r="L23" s="177">
        <f t="shared" si="31"/>
        <v>380</v>
      </c>
      <c r="M23" s="49">
        <f t="shared" si="3"/>
        <v>418</v>
      </c>
      <c r="N23" s="49">
        <v>380</v>
      </c>
      <c r="O23" s="49">
        <v>418</v>
      </c>
      <c r="P23" s="49">
        <f t="shared" si="19"/>
        <v>0</v>
      </c>
      <c r="Q23" s="94">
        <f t="shared" si="20"/>
        <v>0</v>
      </c>
      <c r="S23" s="48">
        <v>19</v>
      </c>
      <c r="T23" s="16">
        <f t="shared" si="14"/>
        <v>19</v>
      </c>
      <c r="U23" s="177">
        <f t="shared" si="32"/>
        <v>475</v>
      </c>
      <c r="V23" s="49">
        <f t="shared" si="5"/>
        <v>522.5</v>
      </c>
      <c r="W23" s="49">
        <v>475</v>
      </c>
      <c r="X23" s="49">
        <v>522.5</v>
      </c>
      <c r="Y23" s="49">
        <f t="shared" si="21"/>
        <v>0</v>
      </c>
      <c r="Z23" s="94">
        <f t="shared" si="22"/>
        <v>0</v>
      </c>
      <c r="AB23" s="48">
        <v>19</v>
      </c>
      <c r="AC23" s="16">
        <f t="shared" si="15"/>
        <v>19</v>
      </c>
      <c r="AD23" s="177">
        <f t="shared" si="33"/>
        <v>570</v>
      </c>
      <c r="AE23" s="49">
        <f t="shared" si="7"/>
        <v>627</v>
      </c>
      <c r="AF23" s="49">
        <v>532</v>
      </c>
      <c r="AG23" s="49">
        <v>585.20000000000005</v>
      </c>
      <c r="AH23" s="49">
        <f t="shared" si="23"/>
        <v>41.799999999999955</v>
      </c>
      <c r="AI23" s="94">
        <f t="shared" si="24"/>
        <v>7.1428571428571341E-2</v>
      </c>
      <c r="AK23" s="48">
        <v>19</v>
      </c>
      <c r="AL23" s="16">
        <f t="shared" si="16"/>
        <v>19</v>
      </c>
      <c r="AM23" s="177">
        <f t="shared" si="34"/>
        <v>760</v>
      </c>
      <c r="AN23" s="49">
        <f t="shared" si="9"/>
        <v>836</v>
      </c>
      <c r="AO23" s="49">
        <v>570</v>
      </c>
      <c r="AP23" s="49">
        <v>627</v>
      </c>
      <c r="AQ23" s="49">
        <f t="shared" si="25"/>
        <v>209</v>
      </c>
      <c r="AR23" s="94">
        <f t="shared" si="26"/>
        <v>0.33333333333333331</v>
      </c>
      <c r="AT23" s="48">
        <v>19</v>
      </c>
      <c r="AU23" s="16">
        <f t="shared" si="17"/>
        <v>19</v>
      </c>
      <c r="AV23" s="177">
        <f t="shared" si="35"/>
        <v>1026</v>
      </c>
      <c r="AW23" s="49">
        <f t="shared" si="11"/>
        <v>1128.5999999999999</v>
      </c>
      <c r="AX23" s="2">
        <v>855</v>
      </c>
      <c r="AY23" s="2">
        <v>940.5</v>
      </c>
      <c r="AZ23" s="49">
        <f t="shared" si="27"/>
        <v>188.09999999999991</v>
      </c>
      <c r="BA23" s="94">
        <f t="shared" si="28"/>
        <v>0.1999999999999999</v>
      </c>
    </row>
    <row r="24" spans="1:53" x14ac:dyDescent="0.3">
      <c r="A24" s="48">
        <v>20</v>
      </c>
      <c r="B24" s="16">
        <f t="shared" si="12"/>
        <v>20</v>
      </c>
      <c r="C24" s="177">
        <f t="shared" si="29"/>
        <v>360</v>
      </c>
      <c r="D24" s="49">
        <f t="shared" si="1"/>
        <v>396</v>
      </c>
      <c r="E24" s="2">
        <v>360</v>
      </c>
      <c r="F24" s="49">
        <v>396</v>
      </c>
      <c r="G24" s="49">
        <f t="shared" si="18"/>
        <v>0</v>
      </c>
      <c r="H24" s="94">
        <f t="shared" si="30"/>
        <v>0</v>
      </c>
      <c r="J24" s="48">
        <v>20</v>
      </c>
      <c r="K24" s="16">
        <f t="shared" si="13"/>
        <v>20</v>
      </c>
      <c r="L24" s="177">
        <f t="shared" si="31"/>
        <v>400</v>
      </c>
      <c r="M24" s="49">
        <f t="shared" si="3"/>
        <v>440</v>
      </c>
      <c r="N24" s="49">
        <v>400</v>
      </c>
      <c r="O24" s="49">
        <v>440</v>
      </c>
      <c r="P24" s="49">
        <f t="shared" si="19"/>
        <v>0</v>
      </c>
      <c r="Q24" s="94">
        <f t="shared" si="20"/>
        <v>0</v>
      </c>
      <c r="S24" s="48">
        <v>20</v>
      </c>
      <c r="T24" s="16">
        <f t="shared" si="14"/>
        <v>20</v>
      </c>
      <c r="U24" s="177">
        <f t="shared" si="32"/>
        <v>500</v>
      </c>
      <c r="V24" s="49">
        <f t="shared" si="5"/>
        <v>550</v>
      </c>
      <c r="W24" s="49">
        <v>500</v>
      </c>
      <c r="X24" s="49">
        <v>550</v>
      </c>
      <c r="Y24" s="49">
        <f t="shared" si="21"/>
        <v>0</v>
      </c>
      <c r="Z24" s="94">
        <f t="shared" si="22"/>
        <v>0</v>
      </c>
      <c r="AB24" s="48">
        <v>20</v>
      </c>
      <c r="AC24" s="16">
        <f t="shared" si="15"/>
        <v>20</v>
      </c>
      <c r="AD24" s="177">
        <f t="shared" si="33"/>
        <v>600</v>
      </c>
      <c r="AE24" s="49">
        <f t="shared" si="7"/>
        <v>660</v>
      </c>
      <c r="AF24" s="49">
        <v>560</v>
      </c>
      <c r="AG24" s="49">
        <v>616</v>
      </c>
      <c r="AH24" s="49">
        <f t="shared" si="23"/>
        <v>44</v>
      </c>
      <c r="AI24" s="94">
        <f t="shared" si="24"/>
        <v>7.1428571428571425E-2</v>
      </c>
      <c r="AK24" s="48">
        <v>20</v>
      </c>
      <c r="AL24" s="16">
        <f t="shared" si="16"/>
        <v>20</v>
      </c>
      <c r="AM24" s="177">
        <f t="shared" si="34"/>
        <v>800</v>
      </c>
      <c r="AN24" s="49">
        <f t="shared" si="9"/>
        <v>880</v>
      </c>
      <c r="AO24" s="49">
        <v>600</v>
      </c>
      <c r="AP24" s="49">
        <v>660</v>
      </c>
      <c r="AQ24" s="49">
        <f t="shared" si="25"/>
        <v>220</v>
      </c>
      <c r="AR24" s="94">
        <f t="shared" si="26"/>
        <v>0.33333333333333331</v>
      </c>
      <c r="AT24" s="48">
        <v>20</v>
      </c>
      <c r="AU24" s="16">
        <f t="shared" si="17"/>
        <v>20</v>
      </c>
      <c r="AV24" s="177">
        <f t="shared" si="35"/>
        <v>1080</v>
      </c>
      <c r="AW24" s="49">
        <f t="shared" si="11"/>
        <v>1188</v>
      </c>
      <c r="AX24" s="2">
        <v>900</v>
      </c>
      <c r="AY24" s="2">
        <v>990</v>
      </c>
      <c r="AZ24" s="49">
        <f t="shared" si="27"/>
        <v>198</v>
      </c>
      <c r="BA24" s="94">
        <f t="shared" si="28"/>
        <v>0.2</v>
      </c>
    </row>
    <row r="25" spans="1:53" x14ac:dyDescent="0.3">
      <c r="A25" s="48">
        <v>21</v>
      </c>
      <c r="B25" s="16">
        <f t="shared" si="12"/>
        <v>21</v>
      </c>
      <c r="C25" s="177">
        <f t="shared" si="29"/>
        <v>378</v>
      </c>
      <c r="D25" s="49">
        <f t="shared" si="1"/>
        <v>415.8</v>
      </c>
      <c r="E25" s="2">
        <v>378</v>
      </c>
      <c r="F25" s="49">
        <v>415.8</v>
      </c>
      <c r="G25" s="49">
        <f t="shared" si="18"/>
        <v>0</v>
      </c>
      <c r="H25" s="94">
        <f t="shared" si="30"/>
        <v>0</v>
      </c>
      <c r="J25" s="48">
        <v>21</v>
      </c>
      <c r="K25" s="16">
        <f t="shared" si="13"/>
        <v>21</v>
      </c>
      <c r="L25" s="177">
        <f t="shared" si="31"/>
        <v>420</v>
      </c>
      <c r="M25" s="49">
        <f t="shared" si="3"/>
        <v>462</v>
      </c>
      <c r="N25" s="49">
        <v>420</v>
      </c>
      <c r="O25" s="49">
        <v>462</v>
      </c>
      <c r="P25" s="49">
        <f t="shared" si="19"/>
        <v>0</v>
      </c>
      <c r="Q25" s="94">
        <f t="shared" si="20"/>
        <v>0</v>
      </c>
      <c r="S25" s="48">
        <v>21</v>
      </c>
      <c r="T25" s="16">
        <f t="shared" si="14"/>
        <v>21</v>
      </c>
      <c r="U25" s="177">
        <f t="shared" si="32"/>
        <v>525</v>
      </c>
      <c r="V25" s="49">
        <f t="shared" si="5"/>
        <v>577.5</v>
      </c>
      <c r="W25" s="49">
        <v>525</v>
      </c>
      <c r="X25" s="49">
        <v>577.5</v>
      </c>
      <c r="Y25" s="49">
        <f t="shared" si="21"/>
        <v>0</v>
      </c>
      <c r="Z25" s="94">
        <f t="shared" si="22"/>
        <v>0</v>
      </c>
      <c r="AB25" s="48">
        <v>21</v>
      </c>
      <c r="AC25" s="16">
        <f t="shared" si="15"/>
        <v>21</v>
      </c>
      <c r="AD25" s="177">
        <f t="shared" si="33"/>
        <v>630</v>
      </c>
      <c r="AE25" s="49">
        <f t="shared" si="7"/>
        <v>693</v>
      </c>
      <c r="AF25" s="49">
        <v>588</v>
      </c>
      <c r="AG25" s="49">
        <v>646.79999999999995</v>
      </c>
      <c r="AH25" s="49">
        <f t="shared" si="23"/>
        <v>46.200000000000045</v>
      </c>
      <c r="AI25" s="94">
        <f t="shared" si="24"/>
        <v>7.1428571428571508E-2</v>
      </c>
      <c r="AK25" s="48">
        <v>21</v>
      </c>
      <c r="AL25" s="16">
        <f t="shared" si="16"/>
        <v>21</v>
      </c>
      <c r="AM25" s="177">
        <f t="shared" si="34"/>
        <v>840</v>
      </c>
      <c r="AN25" s="49">
        <f t="shared" si="9"/>
        <v>924</v>
      </c>
      <c r="AO25" s="49">
        <v>630</v>
      </c>
      <c r="AP25" s="49">
        <v>693</v>
      </c>
      <c r="AQ25" s="49">
        <f t="shared" si="25"/>
        <v>231</v>
      </c>
      <c r="AR25" s="94">
        <f t="shared" si="26"/>
        <v>0.33333333333333331</v>
      </c>
      <c r="AT25" s="48">
        <v>21</v>
      </c>
      <c r="AU25" s="16">
        <f t="shared" si="17"/>
        <v>21</v>
      </c>
      <c r="AV25" s="177">
        <f t="shared" si="35"/>
        <v>1134</v>
      </c>
      <c r="AW25" s="49">
        <f t="shared" si="11"/>
        <v>1247.4000000000001</v>
      </c>
      <c r="AX25" s="2">
        <v>945</v>
      </c>
      <c r="AY25" s="2">
        <v>1039.5</v>
      </c>
      <c r="AZ25" s="49">
        <f t="shared" si="27"/>
        <v>207.90000000000009</v>
      </c>
      <c r="BA25" s="94">
        <f t="shared" si="28"/>
        <v>0.20000000000000009</v>
      </c>
    </row>
    <row r="26" spans="1:53" x14ac:dyDescent="0.3">
      <c r="A26" s="48">
        <v>22</v>
      </c>
      <c r="B26" s="16">
        <f t="shared" si="12"/>
        <v>22</v>
      </c>
      <c r="C26" s="177">
        <f t="shared" si="29"/>
        <v>396</v>
      </c>
      <c r="D26" s="49">
        <f t="shared" si="1"/>
        <v>435.6</v>
      </c>
      <c r="E26" s="2">
        <v>396</v>
      </c>
      <c r="F26" s="49">
        <v>435.6</v>
      </c>
      <c r="G26" s="49">
        <f t="shared" si="18"/>
        <v>0</v>
      </c>
      <c r="H26" s="94">
        <f t="shared" si="30"/>
        <v>0</v>
      </c>
      <c r="J26" s="48">
        <v>22</v>
      </c>
      <c r="K26" s="16">
        <f t="shared" si="13"/>
        <v>22</v>
      </c>
      <c r="L26" s="177">
        <f t="shared" si="31"/>
        <v>440</v>
      </c>
      <c r="M26" s="49">
        <f t="shared" si="3"/>
        <v>484</v>
      </c>
      <c r="N26" s="49">
        <v>440</v>
      </c>
      <c r="O26" s="49">
        <v>484</v>
      </c>
      <c r="P26" s="49">
        <f t="shared" si="19"/>
        <v>0</v>
      </c>
      <c r="Q26" s="94">
        <f t="shared" si="20"/>
        <v>0</v>
      </c>
      <c r="S26" s="48">
        <v>22</v>
      </c>
      <c r="T26" s="16">
        <f t="shared" si="14"/>
        <v>22</v>
      </c>
      <c r="U26" s="177">
        <f t="shared" si="32"/>
        <v>550</v>
      </c>
      <c r="V26" s="49">
        <f t="shared" si="5"/>
        <v>605</v>
      </c>
      <c r="W26" s="49">
        <v>550</v>
      </c>
      <c r="X26" s="49">
        <v>605</v>
      </c>
      <c r="Y26" s="49">
        <f t="shared" si="21"/>
        <v>0</v>
      </c>
      <c r="Z26" s="94">
        <f t="shared" si="22"/>
        <v>0</v>
      </c>
      <c r="AB26" s="48">
        <v>22</v>
      </c>
      <c r="AC26" s="16">
        <f t="shared" si="15"/>
        <v>22</v>
      </c>
      <c r="AD26" s="177">
        <f t="shared" si="33"/>
        <v>660</v>
      </c>
      <c r="AE26" s="49">
        <f t="shared" si="7"/>
        <v>726</v>
      </c>
      <c r="AF26" s="49">
        <v>616</v>
      </c>
      <c r="AG26" s="49">
        <v>677.6</v>
      </c>
      <c r="AH26" s="49">
        <f t="shared" si="23"/>
        <v>48.399999999999977</v>
      </c>
      <c r="AI26" s="94">
        <f t="shared" si="24"/>
        <v>7.1428571428571397E-2</v>
      </c>
      <c r="AK26" s="48">
        <v>22</v>
      </c>
      <c r="AL26" s="16">
        <f t="shared" si="16"/>
        <v>22</v>
      </c>
      <c r="AM26" s="177">
        <f t="shared" si="34"/>
        <v>880</v>
      </c>
      <c r="AN26" s="49">
        <f t="shared" si="9"/>
        <v>968</v>
      </c>
      <c r="AO26" s="49">
        <v>660</v>
      </c>
      <c r="AP26" s="49">
        <v>726</v>
      </c>
      <c r="AQ26" s="49">
        <f t="shared" si="25"/>
        <v>242</v>
      </c>
      <c r="AR26" s="94">
        <f t="shared" si="26"/>
        <v>0.33333333333333331</v>
      </c>
      <c r="AT26" s="48">
        <v>22</v>
      </c>
      <c r="AU26" s="16">
        <f t="shared" si="17"/>
        <v>22</v>
      </c>
      <c r="AV26" s="177">
        <f t="shared" si="35"/>
        <v>1188</v>
      </c>
      <c r="AW26" s="49">
        <f t="shared" si="11"/>
        <v>1306.8</v>
      </c>
      <c r="AX26" s="2">
        <v>990</v>
      </c>
      <c r="AY26" s="2">
        <v>1089</v>
      </c>
      <c r="AZ26" s="49">
        <f t="shared" si="27"/>
        <v>217.79999999999995</v>
      </c>
      <c r="BA26" s="94">
        <f t="shared" si="28"/>
        <v>0.19999999999999996</v>
      </c>
    </row>
    <row r="27" spans="1:53" x14ac:dyDescent="0.3">
      <c r="A27" s="48">
        <v>23</v>
      </c>
      <c r="B27" s="16">
        <f t="shared" si="12"/>
        <v>23</v>
      </c>
      <c r="C27" s="177">
        <f t="shared" si="29"/>
        <v>414</v>
      </c>
      <c r="D27" s="49">
        <f t="shared" si="1"/>
        <v>455.4</v>
      </c>
      <c r="E27" s="2">
        <v>414</v>
      </c>
      <c r="F27" s="49">
        <v>455.4</v>
      </c>
      <c r="G27" s="49">
        <f t="shared" si="18"/>
        <v>0</v>
      </c>
      <c r="H27" s="94">
        <f t="shared" si="30"/>
        <v>0</v>
      </c>
      <c r="J27" s="48">
        <v>23</v>
      </c>
      <c r="K27" s="16">
        <f t="shared" si="13"/>
        <v>23</v>
      </c>
      <c r="L27" s="177">
        <f t="shared" si="31"/>
        <v>460</v>
      </c>
      <c r="M27" s="49">
        <f t="shared" si="3"/>
        <v>506</v>
      </c>
      <c r="N27" s="49">
        <v>460</v>
      </c>
      <c r="O27" s="49">
        <v>506</v>
      </c>
      <c r="P27" s="49">
        <f t="shared" si="19"/>
        <v>0</v>
      </c>
      <c r="Q27" s="94">
        <f t="shared" si="20"/>
        <v>0</v>
      </c>
      <c r="S27" s="48">
        <v>23</v>
      </c>
      <c r="T27" s="16">
        <f t="shared" si="14"/>
        <v>23</v>
      </c>
      <c r="U27" s="177">
        <f t="shared" si="32"/>
        <v>575</v>
      </c>
      <c r="V27" s="49">
        <f t="shared" si="5"/>
        <v>632.5</v>
      </c>
      <c r="W27" s="49">
        <v>575</v>
      </c>
      <c r="X27" s="49">
        <v>632.5</v>
      </c>
      <c r="Y27" s="49">
        <f t="shared" si="21"/>
        <v>0</v>
      </c>
      <c r="Z27" s="94">
        <f t="shared" si="22"/>
        <v>0</v>
      </c>
      <c r="AB27" s="48">
        <v>23</v>
      </c>
      <c r="AC27" s="16">
        <f t="shared" si="15"/>
        <v>23</v>
      </c>
      <c r="AD27" s="177">
        <f t="shared" si="33"/>
        <v>690</v>
      </c>
      <c r="AE27" s="49">
        <f t="shared" si="7"/>
        <v>759</v>
      </c>
      <c r="AF27" s="49">
        <v>644</v>
      </c>
      <c r="AG27" s="49">
        <v>708.4</v>
      </c>
      <c r="AH27" s="49">
        <f t="shared" si="23"/>
        <v>50.600000000000023</v>
      </c>
      <c r="AI27" s="94">
        <f t="shared" si="24"/>
        <v>7.1428571428571466E-2</v>
      </c>
      <c r="AK27" s="48">
        <v>23</v>
      </c>
      <c r="AL27" s="16">
        <f t="shared" si="16"/>
        <v>23</v>
      </c>
      <c r="AM27" s="177">
        <f t="shared" si="34"/>
        <v>920</v>
      </c>
      <c r="AN27" s="49">
        <f t="shared" si="9"/>
        <v>1012</v>
      </c>
      <c r="AO27" s="49">
        <v>690</v>
      </c>
      <c r="AP27" s="49">
        <v>759</v>
      </c>
      <c r="AQ27" s="49">
        <f t="shared" si="25"/>
        <v>253</v>
      </c>
      <c r="AR27" s="94">
        <f t="shared" si="26"/>
        <v>0.33333333333333331</v>
      </c>
      <c r="AT27" s="48">
        <v>23</v>
      </c>
      <c r="AU27" s="16">
        <f t="shared" si="17"/>
        <v>23</v>
      </c>
      <c r="AV27" s="177">
        <f t="shared" si="35"/>
        <v>1242</v>
      </c>
      <c r="AW27" s="49">
        <f t="shared" si="11"/>
        <v>1366.2</v>
      </c>
      <c r="AX27" s="2">
        <v>1035</v>
      </c>
      <c r="AY27" s="2">
        <v>1138.5</v>
      </c>
      <c r="AZ27" s="49">
        <f t="shared" si="27"/>
        <v>227.70000000000005</v>
      </c>
      <c r="BA27" s="94">
        <f t="shared" si="28"/>
        <v>0.20000000000000004</v>
      </c>
    </row>
    <row r="28" spans="1:53" x14ac:dyDescent="0.3">
      <c r="A28" s="48">
        <v>24</v>
      </c>
      <c r="B28" s="16">
        <f t="shared" si="12"/>
        <v>24</v>
      </c>
      <c r="C28" s="177">
        <f t="shared" si="29"/>
        <v>432</v>
      </c>
      <c r="D28" s="49">
        <f t="shared" si="1"/>
        <v>475.2</v>
      </c>
      <c r="E28" s="2">
        <v>432</v>
      </c>
      <c r="F28" s="49">
        <v>475.2</v>
      </c>
      <c r="G28" s="49">
        <f t="shared" si="18"/>
        <v>0</v>
      </c>
      <c r="H28" s="94">
        <f t="shared" si="30"/>
        <v>0</v>
      </c>
      <c r="J28" s="48">
        <v>24</v>
      </c>
      <c r="K28" s="16">
        <f t="shared" si="13"/>
        <v>24</v>
      </c>
      <c r="L28" s="177">
        <f t="shared" si="31"/>
        <v>480</v>
      </c>
      <c r="M28" s="49">
        <f t="shared" si="3"/>
        <v>528</v>
      </c>
      <c r="N28" s="49">
        <v>480</v>
      </c>
      <c r="O28" s="49">
        <v>528</v>
      </c>
      <c r="P28" s="49">
        <f t="shared" si="19"/>
        <v>0</v>
      </c>
      <c r="Q28" s="94">
        <f t="shared" si="20"/>
        <v>0</v>
      </c>
      <c r="S28" s="48">
        <v>24</v>
      </c>
      <c r="T28" s="16">
        <f t="shared" si="14"/>
        <v>24</v>
      </c>
      <c r="U28" s="177">
        <f t="shared" si="32"/>
        <v>600</v>
      </c>
      <c r="V28" s="49">
        <f t="shared" si="5"/>
        <v>660</v>
      </c>
      <c r="W28" s="49">
        <v>600</v>
      </c>
      <c r="X28" s="49">
        <v>660</v>
      </c>
      <c r="Y28" s="49">
        <f t="shared" si="21"/>
        <v>0</v>
      </c>
      <c r="Z28" s="94">
        <f t="shared" si="22"/>
        <v>0</v>
      </c>
      <c r="AB28" s="48">
        <v>24</v>
      </c>
      <c r="AC28" s="16">
        <f t="shared" si="15"/>
        <v>24</v>
      </c>
      <c r="AD28" s="177">
        <f t="shared" si="33"/>
        <v>720</v>
      </c>
      <c r="AE28" s="49">
        <f t="shared" si="7"/>
        <v>792</v>
      </c>
      <c r="AF28" s="49">
        <v>672</v>
      </c>
      <c r="AG28" s="49">
        <v>739.2</v>
      </c>
      <c r="AH28" s="49">
        <f t="shared" si="23"/>
        <v>52.799999999999955</v>
      </c>
      <c r="AI28" s="94">
        <f t="shared" si="24"/>
        <v>7.1428571428571369E-2</v>
      </c>
      <c r="AK28" s="48">
        <v>24</v>
      </c>
      <c r="AL28" s="16">
        <f t="shared" si="16"/>
        <v>24</v>
      </c>
      <c r="AM28" s="177">
        <f t="shared" si="34"/>
        <v>960</v>
      </c>
      <c r="AN28" s="49">
        <f t="shared" si="9"/>
        <v>1056</v>
      </c>
      <c r="AO28" s="49">
        <v>720</v>
      </c>
      <c r="AP28" s="49">
        <v>792</v>
      </c>
      <c r="AQ28" s="49">
        <f t="shared" si="25"/>
        <v>264</v>
      </c>
      <c r="AR28" s="94">
        <f t="shared" si="26"/>
        <v>0.33333333333333331</v>
      </c>
      <c r="AT28" s="48">
        <v>24</v>
      </c>
      <c r="AU28" s="16">
        <f t="shared" si="17"/>
        <v>24</v>
      </c>
      <c r="AV28" s="177">
        <f t="shared" si="35"/>
        <v>1296</v>
      </c>
      <c r="AW28" s="49">
        <f t="shared" si="11"/>
        <v>1425.6</v>
      </c>
      <c r="AX28" s="2">
        <v>1080</v>
      </c>
      <c r="AY28" s="2">
        <v>1188</v>
      </c>
      <c r="AZ28" s="49">
        <f t="shared" si="27"/>
        <v>237.59999999999991</v>
      </c>
      <c r="BA28" s="94">
        <f t="shared" si="28"/>
        <v>0.19999999999999993</v>
      </c>
    </row>
    <row r="29" spans="1:53" x14ac:dyDescent="0.3">
      <c r="A29" s="48">
        <v>25</v>
      </c>
      <c r="B29" s="16">
        <f t="shared" si="12"/>
        <v>25</v>
      </c>
      <c r="C29" s="177">
        <f t="shared" si="29"/>
        <v>450</v>
      </c>
      <c r="D29" s="49">
        <f t="shared" si="1"/>
        <v>495</v>
      </c>
      <c r="E29" s="2">
        <v>450</v>
      </c>
      <c r="F29" s="49">
        <v>495</v>
      </c>
      <c r="G29" s="49">
        <f t="shared" si="18"/>
        <v>0</v>
      </c>
      <c r="H29" s="94">
        <f t="shared" si="30"/>
        <v>0</v>
      </c>
      <c r="J29" s="48">
        <v>25</v>
      </c>
      <c r="K29" s="16">
        <f t="shared" si="13"/>
        <v>25</v>
      </c>
      <c r="L29" s="177">
        <f t="shared" si="31"/>
        <v>500</v>
      </c>
      <c r="M29" s="49">
        <f t="shared" si="3"/>
        <v>550</v>
      </c>
      <c r="N29" s="49">
        <v>500</v>
      </c>
      <c r="O29" s="49">
        <v>550</v>
      </c>
      <c r="P29" s="49">
        <f t="shared" si="19"/>
        <v>0</v>
      </c>
      <c r="Q29" s="94">
        <f t="shared" si="20"/>
        <v>0</v>
      </c>
      <c r="S29" s="48">
        <v>25</v>
      </c>
      <c r="T29" s="16">
        <f t="shared" si="14"/>
        <v>25</v>
      </c>
      <c r="U29" s="177">
        <f t="shared" si="32"/>
        <v>625</v>
      </c>
      <c r="V29" s="49">
        <f t="shared" si="5"/>
        <v>687.5</v>
      </c>
      <c r="W29" s="49">
        <v>625</v>
      </c>
      <c r="X29" s="49">
        <v>687.5</v>
      </c>
      <c r="Y29" s="49">
        <f t="shared" si="21"/>
        <v>0</v>
      </c>
      <c r="Z29" s="94">
        <f t="shared" si="22"/>
        <v>0</v>
      </c>
      <c r="AB29" s="48">
        <v>25</v>
      </c>
      <c r="AC29" s="16">
        <f t="shared" si="15"/>
        <v>25</v>
      </c>
      <c r="AD29" s="177">
        <f t="shared" si="33"/>
        <v>750</v>
      </c>
      <c r="AE29" s="49">
        <f t="shared" si="7"/>
        <v>825</v>
      </c>
      <c r="AF29" s="49">
        <v>700</v>
      </c>
      <c r="AG29" s="49">
        <v>770</v>
      </c>
      <c r="AH29" s="49">
        <f t="shared" si="23"/>
        <v>55</v>
      </c>
      <c r="AI29" s="94">
        <f t="shared" si="24"/>
        <v>7.1428571428571425E-2</v>
      </c>
      <c r="AK29" s="48">
        <v>25</v>
      </c>
      <c r="AL29" s="16">
        <f t="shared" si="16"/>
        <v>25</v>
      </c>
      <c r="AM29" s="177">
        <f t="shared" si="34"/>
        <v>1000</v>
      </c>
      <c r="AN29" s="49">
        <f t="shared" si="9"/>
        <v>1100</v>
      </c>
      <c r="AO29" s="49">
        <v>750</v>
      </c>
      <c r="AP29" s="49">
        <v>825</v>
      </c>
      <c r="AQ29" s="49">
        <f t="shared" si="25"/>
        <v>275</v>
      </c>
      <c r="AR29" s="94">
        <f t="shared" si="26"/>
        <v>0.33333333333333331</v>
      </c>
      <c r="AT29" s="48">
        <v>25</v>
      </c>
      <c r="AU29" s="16">
        <f t="shared" si="17"/>
        <v>25</v>
      </c>
      <c r="AV29" s="177">
        <f t="shared" si="35"/>
        <v>1350</v>
      </c>
      <c r="AW29" s="49">
        <f t="shared" si="11"/>
        <v>1485</v>
      </c>
      <c r="AX29" s="2">
        <v>1125</v>
      </c>
      <c r="AY29" s="2">
        <v>1237.5</v>
      </c>
      <c r="AZ29" s="49">
        <f t="shared" si="27"/>
        <v>247.5</v>
      </c>
      <c r="BA29" s="94">
        <f t="shared" si="28"/>
        <v>0.2</v>
      </c>
    </row>
    <row r="30" spans="1:53" x14ac:dyDescent="0.3">
      <c r="A30" s="48">
        <v>26</v>
      </c>
      <c r="B30" s="16">
        <f t="shared" si="12"/>
        <v>26</v>
      </c>
      <c r="C30" s="177">
        <f t="shared" si="29"/>
        <v>468</v>
      </c>
      <c r="D30" s="49">
        <f t="shared" si="1"/>
        <v>514.79999999999995</v>
      </c>
      <c r="E30" s="2">
        <v>468</v>
      </c>
      <c r="F30" s="49">
        <v>514.79999999999995</v>
      </c>
      <c r="G30" s="49">
        <f t="shared" si="18"/>
        <v>0</v>
      </c>
      <c r="H30" s="94">
        <f t="shared" si="30"/>
        <v>0</v>
      </c>
      <c r="J30" s="48">
        <v>26</v>
      </c>
      <c r="K30" s="16">
        <f t="shared" si="13"/>
        <v>26</v>
      </c>
      <c r="L30" s="177">
        <f t="shared" si="31"/>
        <v>520</v>
      </c>
      <c r="M30" s="49">
        <f t="shared" si="3"/>
        <v>572</v>
      </c>
      <c r="N30" s="49">
        <v>520</v>
      </c>
      <c r="O30" s="49">
        <v>572</v>
      </c>
      <c r="P30" s="49">
        <f t="shared" si="19"/>
        <v>0</v>
      </c>
      <c r="Q30" s="94">
        <f t="shared" si="20"/>
        <v>0</v>
      </c>
      <c r="S30" s="48">
        <v>26</v>
      </c>
      <c r="T30" s="16">
        <f t="shared" si="14"/>
        <v>26</v>
      </c>
      <c r="U30" s="177">
        <f t="shared" si="32"/>
        <v>650</v>
      </c>
      <c r="V30" s="49">
        <f t="shared" si="5"/>
        <v>715</v>
      </c>
      <c r="W30" s="49">
        <v>650</v>
      </c>
      <c r="X30" s="49">
        <v>715</v>
      </c>
      <c r="Y30" s="49">
        <f t="shared" si="21"/>
        <v>0</v>
      </c>
      <c r="Z30" s="94">
        <f t="shared" si="22"/>
        <v>0</v>
      </c>
      <c r="AB30" s="48">
        <v>26</v>
      </c>
      <c r="AC30" s="16">
        <f t="shared" si="15"/>
        <v>26</v>
      </c>
      <c r="AD30" s="177">
        <f t="shared" si="33"/>
        <v>780</v>
      </c>
      <c r="AE30" s="49">
        <f t="shared" si="7"/>
        <v>858</v>
      </c>
      <c r="AF30" s="49">
        <v>728</v>
      </c>
      <c r="AG30" s="49">
        <v>800.8</v>
      </c>
      <c r="AH30" s="49">
        <f t="shared" si="23"/>
        <v>57.200000000000045</v>
      </c>
      <c r="AI30" s="94">
        <f t="shared" si="24"/>
        <v>7.1428571428571494E-2</v>
      </c>
      <c r="AK30" s="48">
        <v>26</v>
      </c>
      <c r="AL30" s="16">
        <f t="shared" si="16"/>
        <v>26</v>
      </c>
      <c r="AM30" s="177">
        <f t="shared" si="34"/>
        <v>1040</v>
      </c>
      <c r="AN30" s="49">
        <f t="shared" si="9"/>
        <v>1144</v>
      </c>
      <c r="AO30" s="49">
        <v>780</v>
      </c>
      <c r="AP30" s="49">
        <v>858</v>
      </c>
      <c r="AQ30" s="49">
        <f t="shared" si="25"/>
        <v>286</v>
      </c>
      <c r="AR30" s="94">
        <f t="shared" si="26"/>
        <v>0.33333333333333331</v>
      </c>
      <c r="AT30" s="48">
        <v>26</v>
      </c>
      <c r="AU30" s="16">
        <f t="shared" si="17"/>
        <v>26</v>
      </c>
      <c r="AV30" s="177">
        <f t="shared" si="35"/>
        <v>1404</v>
      </c>
      <c r="AW30" s="49">
        <f t="shared" si="11"/>
        <v>1544.4</v>
      </c>
      <c r="AX30" s="2">
        <v>1170</v>
      </c>
      <c r="AY30" s="2">
        <v>1287</v>
      </c>
      <c r="AZ30" s="49">
        <f t="shared" si="27"/>
        <v>257.40000000000009</v>
      </c>
      <c r="BA30" s="94">
        <f t="shared" si="28"/>
        <v>0.20000000000000007</v>
      </c>
    </row>
    <row r="31" spans="1:53" x14ac:dyDescent="0.3">
      <c r="A31" s="48">
        <v>27</v>
      </c>
      <c r="B31" s="16">
        <f t="shared" si="12"/>
        <v>27</v>
      </c>
      <c r="C31" s="177">
        <f t="shared" si="29"/>
        <v>486</v>
      </c>
      <c r="D31" s="49">
        <f t="shared" si="1"/>
        <v>534.6</v>
      </c>
      <c r="E31" s="2">
        <v>486</v>
      </c>
      <c r="F31" s="49">
        <v>534.6</v>
      </c>
      <c r="G31" s="49">
        <f t="shared" si="18"/>
        <v>0</v>
      </c>
      <c r="H31" s="94">
        <f t="shared" si="30"/>
        <v>0</v>
      </c>
      <c r="J31" s="48">
        <v>27</v>
      </c>
      <c r="K31" s="16">
        <f t="shared" si="13"/>
        <v>27</v>
      </c>
      <c r="L31" s="177">
        <f t="shared" si="31"/>
        <v>540</v>
      </c>
      <c r="M31" s="49">
        <f t="shared" si="3"/>
        <v>594</v>
      </c>
      <c r="N31" s="49">
        <v>540</v>
      </c>
      <c r="O31" s="49">
        <v>594</v>
      </c>
      <c r="P31" s="49">
        <f t="shared" si="19"/>
        <v>0</v>
      </c>
      <c r="Q31" s="94">
        <f t="shared" si="20"/>
        <v>0</v>
      </c>
      <c r="S31" s="48">
        <v>27</v>
      </c>
      <c r="T31" s="16">
        <f t="shared" si="14"/>
        <v>27</v>
      </c>
      <c r="U31" s="177">
        <f t="shared" si="32"/>
        <v>675</v>
      </c>
      <c r="V31" s="49">
        <f t="shared" si="5"/>
        <v>742.5</v>
      </c>
      <c r="W31" s="49">
        <v>675</v>
      </c>
      <c r="X31" s="49">
        <v>742.5</v>
      </c>
      <c r="Y31" s="49">
        <f t="shared" si="21"/>
        <v>0</v>
      </c>
      <c r="Z31" s="94">
        <f t="shared" si="22"/>
        <v>0</v>
      </c>
      <c r="AB31" s="48">
        <v>27</v>
      </c>
      <c r="AC31" s="16">
        <f t="shared" si="15"/>
        <v>27</v>
      </c>
      <c r="AD31" s="177">
        <f t="shared" si="33"/>
        <v>810</v>
      </c>
      <c r="AE31" s="49">
        <f t="shared" si="7"/>
        <v>891</v>
      </c>
      <c r="AF31" s="49">
        <v>756</v>
      </c>
      <c r="AG31" s="49">
        <v>831.6</v>
      </c>
      <c r="AH31" s="49">
        <f t="shared" si="23"/>
        <v>59.399999999999977</v>
      </c>
      <c r="AI31" s="94">
        <f t="shared" si="24"/>
        <v>7.1428571428571397E-2</v>
      </c>
      <c r="AK31" s="48">
        <v>27</v>
      </c>
      <c r="AL31" s="16">
        <f t="shared" si="16"/>
        <v>27</v>
      </c>
      <c r="AM31" s="177">
        <f t="shared" si="34"/>
        <v>1080</v>
      </c>
      <c r="AN31" s="49">
        <f t="shared" si="9"/>
        <v>1188</v>
      </c>
      <c r="AO31" s="49">
        <v>810</v>
      </c>
      <c r="AP31" s="49">
        <v>891</v>
      </c>
      <c r="AQ31" s="49">
        <f t="shared" si="25"/>
        <v>297</v>
      </c>
      <c r="AR31" s="94">
        <f t="shared" si="26"/>
        <v>0.33333333333333331</v>
      </c>
      <c r="AT31" s="48">
        <v>27</v>
      </c>
      <c r="AU31" s="16">
        <f t="shared" si="17"/>
        <v>27</v>
      </c>
      <c r="AV31" s="177">
        <f t="shared" si="35"/>
        <v>1458</v>
      </c>
      <c r="AW31" s="49">
        <f t="shared" si="11"/>
        <v>1603.8</v>
      </c>
      <c r="AX31" s="2">
        <v>1215</v>
      </c>
      <c r="AY31" s="2">
        <v>1336.5</v>
      </c>
      <c r="AZ31" s="49">
        <f t="shared" si="27"/>
        <v>267.29999999999995</v>
      </c>
      <c r="BA31" s="94">
        <f t="shared" si="28"/>
        <v>0.19999999999999996</v>
      </c>
    </row>
    <row r="32" spans="1:53" x14ac:dyDescent="0.3">
      <c r="A32" s="48">
        <v>28</v>
      </c>
      <c r="B32" s="16">
        <f t="shared" si="12"/>
        <v>28</v>
      </c>
      <c r="C32" s="177">
        <f t="shared" si="29"/>
        <v>504</v>
      </c>
      <c r="D32" s="49">
        <f t="shared" si="1"/>
        <v>554.4</v>
      </c>
      <c r="E32" s="2">
        <v>504</v>
      </c>
      <c r="F32" s="49">
        <v>554.4</v>
      </c>
      <c r="G32" s="49">
        <f t="shared" si="18"/>
        <v>0</v>
      </c>
      <c r="H32" s="94">
        <f t="shared" si="30"/>
        <v>0</v>
      </c>
      <c r="J32" s="48">
        <v>28</v>
      </c>
      <c r="K32" s="16">
        <f t="shared" si="13"/>
        <v>28</v>
      </c>
      <c r="L32" s="177">
        <f t="shared" si="31"/>
        <v>560</v>
      </c>
      <c r="M32" s="49">
        <f t="shared" si="3"/>
        <v>616</v>
      </c>
      <c r="N32" s="49">
        <v>560</v>
      </c>
      <c r="O32" s="49">
        <v>616</v>
      </c>
      <c r="P32" s="49">
        <f t="shared" si="19"/>
        <v>0</v>
      </c>
      <c r="Q32" s="94">
        <f t="shared" si="20"/>
        <v>0</v>
      </c>
      <c r="S32" s="48">
        <v>28</v>
      </c>
      <c r="T32" s="16">
        <f t="shared" si="14"/>
        <v>28</v>
      </c>
      <c r="U32" s="177">
        <f t="shared" si="32"/>
        <v>700</v>
      </c>
      <c r="V32" s="49">
        <f t="shared" si="5"/>
        <v>770</v>
      </c>
      <c r="W32" s="49">
        <v>700</v>
      </c>
      <c r="X32" s="49">
        <v>770</v>
      </c>
      <c r="Y32" s="49">
        <f t="shared" si="21"/>
        <v>0</v>
      </c>
      <c r="Z32" s="94">
        <f t="shared" si="22"/>
        <v>0</v>
      </c>
      <c r="AB32" s="48">
        <v>28</v>
      </c>
      <c r="AC32" s="16">
        <f t="shared" si="15"/>
        <v>28</v>
      </c>
      <c r="AD32" s="177">
        <f t="shared" si="33"/>
        <v>840</v>
      </c>
      <c r="AE32" s="49">
        <f t="shared" si="7"/>
        <v>924</v>
      </c>
      <c r="AF32" s="49">
        <v>784</v>
      </c>
      <c r="AG32" s="49">
        <v>862.4</v>
      </c>
      <c r="AH32" s="49">
        <f t="shared" si="23"/>
        <v>61.600000000000023</v>
      </c>
      <c r="AI32" s="94">
        <f t="shared" si="24"/>
        <v>7.1428571428571452E-2</v>
      </c>
      <c r="AK32" s="48">
        <v>28</v>
      </c>
      <c r="AL32" s="16">
        <f t="shared" si="16"/>
        <v>28</v>
      </c>
      <c r="AM32" s="177">
        <f t="shared" si="34"/>
        <v>1120</v>
      </c>
      <c r="AN32" s="49">
        <f t="shared" si="9"/>
        <v>1232</v>
      </c>
      <c r="AO32" s="49">
        <v>840</v>
      </c>
      <c r="AP32" s="49">
        <v>924</v>
      </c>
      <c r="AQ32" s="49">
        <f t="shared" si="25"/>
        <v>308</v>
      </c>
      <c r="AR32" s="94">
        <f t="shared" si="26"/>
        <v>0.33333333333333331</v>
      </c>
      <c r="AT32" s="48">
        <v>28</v>
      </c>
      <c r="AU32" s="16">
        <f t="shared" si="17"/>
        <v>28</v>
      </c>
      <c r="AV32" s="177">
        <f t="shared" si="35"/>
        <v>1512</v>
      </c>
      <c r="AW32" s="49">
        <f t="shared" si="11"/>
        <v>1663.2</v>
      </c>
      <c r="AX32" s="2">
        <v>1260</v>
      </c>
      <c r="AY32" s="2">
        <v>1386</v>
      </c>
      <c r="AZ32" s="49">
        <f t="shared" si="27"/>
        <v>277.20000000000005</v>
      </c>
      <c r="BA32" s="94">
        <f t="shared" si="28"/>
        <v>0.20000000000000004</v>
      </c>
    </row>
    <row r="33" spans="1:53" x14ac:dyDescent="0.3">
      <c r="A33" s="48">
        <v>29</v>
      </c>
      <c r="B33" s="16">
        <f t="shared" si="12"/>
        <v>29</v>
      </c>
      <c r="C33" s="177">
        <f t="shared" si="29"/>
        <v>522</v>
      </c>
      <c r="D33" s="49">
        <f t="shared" si="1"/>
        <v>574.20000000000005</v>
      </c>
      <c r="E33" s="2">
        <v>522</v>
      </c>
      <c r="F33" s="49">
        <v>574.20000000000005</v>
      </c>
      <c r="G33" s="49">
        <f t="shared" si="18"/>
        <v>0</v>
      </c>
      <c r="H33" s="94">
        <f t="shared" si="30"/>
        <v>0</v>
      </c>
      <c r="J33" s="48">
        <v>29</v>
      </c>
      <c r="K33" s="16">
        <f t="shared" si="13"/>
        <v>29</v>
      </c>
      <c r="L33" s="177">
        <f t="shared" si="31"/>
        <v>580</v>
      </c>
      <c r="M33" s="49">
        <f t="shared" si="3"/>
        <v>638</v>
      </c>
      <c r="N33" s="49">
        <v>580</v>
      </c>
      <c r="O33" s="49">
        <v>638</v>
      </c>
      <c r="P33" s="49">
        <f t="shared" si="19"/>
        <v>0</v>
      </c>
      <c r="Q33" s="94">
        <f t="shared" si="20"/>
        <v>0</v>
      </c>
      <c r="S33" s="48">
        <v>29</v>
      </c>
      <c r="T33" s="16">
        <f t="shared" si="14"/>
        <v>29</v>
      </c>
      <c r="U33" s="177">
        <f t="shared" si="32"/>
        <v>725</v>
      </c>
      <c r="V33" s="49">
        <f t="shared" si="5"/>
        <v>797.5</v>
      </c>
      <c r="W33" s="49">
        <v>725</v>
      </c>
      <c r="X33" s="49">
        <v>797.5</v>
      </c>
      <c r="Y33" s="49">
        <f t="shared" si="21"/>
        <v>0</v>
      </c>
      <c r="Z33" s="94">
        <f t="shared" si="22"/>
        <v>0</v>
      </c>
      <c r="AB33" s="48">
        <v>29</v>
      </c>
      <c r="AC33" s="16">
        <f t="shared" si="15"/>
        <v>29</v>
      </c>
      <c r="AD33" s="177">
        <f t="shared" si="33"/>
        <v>870</v>
      </c>
      <c r="AE33" s="49">
        <f t="shared" si="7"/>
        <v>957</v>
      </c>
      <c r="AF33" s="49">
        <v>812</v>
      </c>
      <c r="AG33" s="49">
        <v>893.2</v>
      </c>
      <c r="AH33" s="49">
        <f t="shared" si="23"/>
        <v>63.799999999999955</v>
      </c>
      <c r="AI33" s="94">
        <f t="shared" si="24"/>
        <v>7.1428571428571369E-2</v>
      </c>
      <c r="AK33" s="48">
        <v>29</v>
      </c>
      <c r="AL33" s="16">
        <f t="shared" si="16"/>
        <v>29</v>
      </c>
      <c r="AM33" s="177">
        <f t="shared" si="34"/>
        <v>1160</v>
      </c>
      <c r="AN33" s="49">
        <f t="shared" si="9"/>
        <v>1276</v>
      </c>
      <c r="AO33" s="49">
        <v>870</v>
      </c>
      <c r="AP33" s="49">
        <v>957</v>
      </c>
      <c r="AQ33" s="49">
        <f t="shared" si="25"/>
        <v>319</v>
      </c>
      <c r="AR33" s="94">
        <f t="shared" si="26"/>
        <v>0.33333333333333331</v>
      </c>
      <c r="AT33" s="48">
        <v>29</v>
      </c>
      <c r="AU33" s="16">
        <f t="shared" si="17"/>
        <v>29</v>
      </c>
      <c r="AV33" s="177">
        <f t="shared" si="35"/>
        <v>1566</v>
      </c>
      <c r="AW33" s="49">
        <f t="shared" si="11"/>
        <v>1722.6</v>
      </c>
      <c r="AX33" s="2">
        <v>1305</v>
      </c>
      <c r="AY33" s="2">
        <v>1435.5</v>
      </c>
      <c r="AZ33" s="49">
        <f t="shared" si="27"/>
        <v>287.09999999999991</v>
      </c>
      <c r="BA33" s="94">
        <f t="shared" si="28"/>
        <v>0.19999999999999993</v>
      </c>
    </row>
    <row r="34" spans="1:53" x14ac:dyDescent="0.3">
      <c r="A34" s="48">
        <v>30</v>
      </c>
      <c r="B34" s="16">
        <f t="shared" si="12"/>
        <v>30</v>
      </c>
      <c r="C34" s="177">
        <f t="shared" si="29"/>
        <v>540</v>
      </c>
      <c r="D34" s="49">
        <f t="shared" si="1"/>
        <v>594</v>
      </c>
      <c r="E34" s="2">
        <v>540</v>
      </c>
      <c r="F34" s="49">
        <v>594</v>
      </c>
      <c r="G34" s="49">
        <f t="shared" si="18"/>
        <v>0</v>
      </c>
      <c r="H34" s="94">
        <f t="shared" si="30"/>
        <v>0</v>
      </c>
      <c r="J34" s="48">
        <v>30</v>
      </c>
      <c r="K34" s="16">
        <f t="shared" si="13"/>
        <v>30</v>
      </c>
      <c r="L34" s="177">
        <f t="shared" si="31"/>
        <v>600</v>
      </c>
      <c r="M34" s="49">
        <f t="shared" si="3"/>
        <v>660</v>
      </c>
      <c r="N34" s="49">
        <v>600</v>
      </c>
      <c r="O34" s="49">
        <v>660</v>
      </c>
      <c r="P34" s="49">
        <f t="shared" si="19"/>
        <v>0</v>
      </c>
      <c r="Q34" s="94">
        <f t="shared" si="20"/>
        <v>0</v>
      </c>
      <c r="S34" s="48">
        <v>30</v>
      </c>
      <c r="T34" s="16">
        <f t="shared" si="14"/>
        <v>30</v>
      </c>
      <c r="U34" s="177">
        <f t="shared" si="32"/>
        <v>750</v>
      </c>
      <c r="V34" s="49">
        <f t="shared" si="5"/>
        <v>825</v>
      </c>
      <c r="W34" s="49">
        <v>750</v>
      </c>
      <c r="X34" s="49">
        <v>825</v>
      </c>
      <c r="Y34" s="49">
        <f t="shared" si="21"/>
        <v>0</v>
      </c>
      <c r="Z34" s="94">
        <f t="shared" si="22"/>
        <v>0</v>
      </c>
      <c r="AB34" s="48">
        <v>30</v>
      </c>
      <c r="AC34" s="16">
        <f t="shared" si="15"/>
        <v>30</v>
      </c>
      <c r="AD34" s="177">
        <f t="shared" si="33"/>
        <v>900</v>
      </c>
      <c r="AE34" s="49">
        <f t="shared" si="7"/>
        <v>990</v>
      </c>
      <c r="AF34" s="49">
        <v>840</v>
      </c>
      <c r="AG34" s="49">
        <v>924</v>
      </c>
      <c r="AH34" s="49">
        <f t="shared" si="23"/>
        <v>66</v>
      </c>
      <c r="AI34" s="94">
        <f t="shared" si="24"/>
        <v>7.1428571428571425E-2</v>
      </c>
      <c r="AK34" s="48">
        <v>30</v>
      </c>
      <c r="AL34" s="16">
        <f t="shared" si="16"/>
        <v>30</v>
      </c>
      <c r="AM34" s="177">
        <f t="shared" si="34"/>
        <v>1200</v>
      </c>
      <c r="AN34" s="49">
        <f t="shared" si="9"/>
        <v>1320</v>
      </c>
      <c r="AO34" s="49">
        <v>900</v>
      </c>
      <c r="AP34" s="49">
        <v>990</v>
      </c>
      <c r="AQ34" s="49">
        <f t="shared" si="25"/>
        <v>330</v>
      </c>
      <c r="AR34" s="94">
        <f t="shared" si="26"/>
        <v>0.33333333333333331</v>
      </c>
      <c r="AT34" s="48">
        <v>30</v>
      </c>
      <c r="AU34" s="16">
        <f t="shared" si="17"/>
        <v>30</v>
      </c>
      <c r="AV34" s="177">
        <f t="shared" si="35"/>
        <v>1620</v>
      </c>
      <c r="AW34" s="49">
        <f t="shared" si="11"/>
        <v>1782</v>
      </c>
      <c r="AX34" s="2">
        <v>1350</v>
      </c>
      <c r="AY34" s="2">
        <v>1485</v>
      </c>
      <c r="AZ34" s="49">
        <f t="shared" si="27"/>
        <v>297</v>
      </c>
      <c r="BA34" s="94">
        <f t="shared" si="28"/>
        <v>0.2</v>
      </c>
    </row>
    <row r="35" spans="1:53" x14ac:dyDescent="0.3">
      <c r="A35" s="48">
        <v>31</v>
      </c>
      <c r="B35" s="16">
        <f t="shared" si="12"/>
        <v>31</v>
      </c>
      <c r="C35" s="177">
        <f t="shared" si="29"/>
        <v>558</v>
      </c>
      <c r="D35" s="49">
        <f t="shared" si="1"/>
        <v>613.79999999999995</v>
      </c>
      <c r="E35" s="2">
        <v>558</v>
      </c>
      <c r="F35" s="49">
        <v>613.79999999999995</v>
      </c>
      <c r="G35" s="49">
        <f t="shared" si="18"/>
        <v>0</v>
      </c>
      <c r="H35" s="94">
        <f t="shared" si="30"/>
        <v>0</v>
      </c>
      <c r="J35" s="48">
        <v>31</v>
      </c>
      <c r="K35" s="16">
        <f t="shared" si="13"/>
        <v>31</v>
      </c>
      <c r="L35" s="177">
        <f t="shared" si="31"/>
        <v>620</v>
      </c>
      <c r="M35" s="49">
        <f t="shared" si="3"/>
        <v>682</v>
      </c>
      <c r="N35" s="49">
        <v>620</v>
      </c>
      <c r="O35" s="49">
        <v>682</v>
      </c>
      <c r="P35" s="49">
        <f t="shared" si="19"/>
        <v>0</v>
      </c>
      <c r="Q35" s="94">
        <f t="shared" si="20"/>
        <v>0</v>
      </c>
      <c r="S35" s="48">
        <v>31</v>
      </c>
      <c r="T35" s="16">
        <f t="shared" si="14"/>
        <v>31</v>
      </c>
      <c r="U35" s="177">
        <f t="shared" si="32"/>
        <v>775</v>
      </c>
      <c r="V35" s="49">
        <f t="shared" si="5"/>
        <v>852.5</v>
      </c>
      <c r="W35" s="49">
        <v>775</v>
      </c>
      <c r="X35" s="49">
        <v>852.5</v>
      </c>
      <c r="Y35" s="49">
        <f t="shared" si="21"/>
        <v>0</v>
      </c>
      <c r="Z35" s="94">
        <f t="shared" si="22"/>
        <v>0</v>
      </c>
      <c r="AB35" s="48">
        <v>31</v>
      </c>
      <c r="AC35" s="16">
        <f t="shared" si="15"/>
        <v>31</v>
      </c>
      <c r="AD35" s="177">
        <f t="shared" si="33"/>
        <v>930</v>
      </c>
      <c r="AE35" s="49">
        <f t="shared" si="7"/>
        <v>1023</v>
      </c>
      <c r="AF35" s="49">
        <v>868</v>
      </c>
      <c r="AG35" s="49">
        <v>954.8</v>
      </c>
      <c r="AH35" s="49">
        <f t="shared" si="23"/>
        <v>68.200000000000045</v>
      </c>
      <c r="AI35" s="94">
        <f t="shared" si="24"/>
        <v>7.142857142857148E-2</v>
      </c>
      <c r="AK35" s="48">
        <v>31</v>
      </c>
      <c r="AL35" s="16">
        <f t="shared" si="16"/>
        <v>31</v>
      </c>
      <c r="AM35" s="177">
        <f t="shared" si="34"/>
        <v>1240</v>
      </c>
      <c r="AN35" s="49">
        <f t="shared" si="9"/>
        <v>1364</v>
      </c>
      <c r="AO35" s="49">
        <v>930</v>
      </c>
      <c r="AP35" s="49">
        <v>1023</v>
      </c>
      <c r="AQ35" s="49">
        <f t="shared" si="25"/>
        <v>341</v>
      </c>
      <c r="AR35" s="94">
        <f t="shared" si="26"/>
        <v>0.33333333333333331</v>
      </c>
      <c r="AT35" s="48">
        <v>31</v>
      </c>
      <c r="AU35" s="16">
        <f t="shared" si="17"/>
        <v>31</v>
      </c>
      <c r="AV35" s="177">
        <f t="shared" si="35"/>
        <v>1674</v>
      </c>
      <c r="AW35" s="49">
        <f t="shared" si="11"/>
        <v>1841.4</v>
      </c>
      <c r="AX35" s="2">
        <v>1395</v>
      </c>
      <c r="AY35" s="2">
        <v>1534.5</v>
      </c>
      <c r="AZ35" s="49">
        <f t="shared" si="27"/>
        <v>306.90000000000009</v>
      </c>
      <c r="BA35" s="94">
        <f t="shared" si="28"/>
        <v>0.20000000000000007</v>
      </c>
    </row>
    <row r="36" spans="1:53" x14ac:dyDescent="0.3">
      <c r="A36" s="48">
        <v>32</v>
      </c>
      <c r="B36" s="16">
        <f t="shared" si="12"/>
        <v>32</v>
      </c>
      <c r="C36" s="177">
        <f t="shared" si="29"/>
        <v>576</v>
      </c>
      <c r="D36" s="49">
        <f t="shared" si="1"/>
        <v>633.6</v>
      </c>
      <c r="E36" s="2">
        <v>576</v>
      </c>
      <c r="F36" s="49">
        <v>633.6</v>
      </c>
      <c r="G36" s="49">
        <f t="shared" si="18"/>
        <v>0</v>
      </c>
      <c r="H36" s="94">
        <f t="shared" si="30"/>
        <v>0</v>
      </c>
      <c r="J36" s="48">
        <v>32</v>
      </c>
      <c r="K36" s="16">
        <f t="shared" si="13"/>
        <v>32</v>
      </c>
      <c r="L36" s="177">
        <f t="shared" si="31"/>
        <v>640</v>
      </c>
      <c r="M36" s="49">
        <f t="shared" si="3"/>
        <v>704</v>
      </c>
      <c r="N36" s="49">
        <v>640</v>
      </c>
      <c r="O36" s="49">
        <v>704</v>
      </c>
      <c r="P36" s="49">
        <f t="shared" si="19"/>
        <v>0</v>
      </c>
      <c r="Q36" s="94">
        <f t="shared" si="20"/>
        <v>0</v>
      </c>
      <c r="S36" s="48">
        <v>32</v>
      </c>
      <c r="T36" s="16">
        <f t="shared" si="14"/>
        <v>32</v>
      </c>
      <c r="U36" s="177">
        <f t="shared" si="32"/>
        <v>800</v>
      </c>
      <c r="V36" s="49">
        <f t="shared" si="5"/>
        <v>880</v>
      </c>
      <c r="W36" s="49">
        <v>800</v>
      </c>
      <c r="X36" s="49">
        <v>880</v>
      </c>
      <c r="Y36" s="49">
        <f t="shared" si="21"/>
        <v>0</v>
      </c>
      <c r="Z36" s="94">
        <f t="shared" si="22"/>
        <v>0</v>
      </c>
      <c r="AB36" s="48">
        <v>32</v>
      </c>
      <c r="AC36" s="16">
        <f t="shared" si="15"/>
        <v>32</v>
      </c>
      <c r="AD36" s="177">
        <f t="shared" si="33"/>
        <v>960</v>
      </c>
      <c r="AE36" s="49">
        <f t="shared" si="7"/>
        <v>1056</v>
      </c>
      <c r="AF36" s="49">
        <v>896</v>
      </c>
      <c r="AG36" s="49">
        <v>985.6</v>
      </c>
      <c r="AH36" s="49">
        <f t="shared" si="23"/>
        <v>70.399999999999977</v>
      </c>
      <c r="AI36" s="94">
        <f t="shared" si="24"/>
        <v>7.1428571428571411E-2</v>
      </c>
      <c r="AK36" s="48">
        <v>32</v>
      </c>
      <c r="AL36" s="16">
        <f t="shared" si="16"/>
        <v>32</v>
      </c>
      <c r="AM36" s="177">
        <f t="shared" si="34"/>
        <v>1280</v>
      </c>
      <c r="AN36" s="49">
        <f t="shared" si="9"/>
        <v>1408</v>
      </c>
      <c r="AO36" s="49">
        <v>960</v>
      </c>
      <c r="AP36" s="49">
        <v>1056</v>
      </c>
      <c r="AQ36" s="49">
        <f t="shared" si="25"/>
        <v>352</v>
      </c>
      <c r="AR36" s="94">
        <f t="shared" si="26"/>
        <v>0.33333333333333331</v>
      </c>
      <c r="AT36" s="48">
        <v>32</v>
      </c>
      <c r="AU36" s="16">
        <f t="shared" si="17"/>
        <v>32</v>
      </c>
      <c r="AV36" s="177">
        <f t="shared" si="35"/>
        <v>1728</v>
      </c>
      <c r="AW36" s="49">
        <f t="shared" si="11"/>
        <v>1900.8</v>
      </c>
      <c r="AX36" s="2">
        <v>1440</v>
      </c>
      <c r="AY36" s="2">
        <v>1584</v>
      </c>
      <c r="AZ36" s="49">
        <f t="shared" si="27"/>
        <v>316.79999999999995</v>
      </c>
      <c r="BA36" s="94">
        <f t="shared" si="28"/>
        <v>0.19999999999999998</v>
      </c>
    </row>
    <row r="37" spans="1:53" x14ac:dyDescent="0.3">
      <c r="A37" s="48">
        <v>33</v>
      </c>
      <c r="B37" s="16">
        <f t="shared" si="12"/>
        <v>33</v>
      </c>
      <c r="C37" s="177">
        <f t="shared" si="29"/>
        <v>594</v>
      </c>
      <c r="D37" s="49">
        <f t="shared" si="1"/>
        <v>653.4</v>
      </c>
      <c r="E37" s="2">
        <v>594</v>
      </c>
      <c r="F37" s="49">
        <v>653.4</v>
      </c>
      <c r="G37" s="49">
        <f t="shared" si="18"/>
        <v>0</v>
      </c>
      <c r="H37" s="94">
        <f t="shared" si="30"/>
        <v>0</v>
      </c>
      <c r="J37" s="48">
        <v>33</v>
      </c>
      <c r="K37" s="16">
        <f t="shared" si="13"/>
        <v>33</v>
      </c>
      <c r="L37" s="177">
        <f t="shared" si="31"/>
        <v>660</v>
      </c>
      <c r="M37" s="49">
        <f t="shared" si="3"/>
        <v>726</v>
      </c>
      <c r="N37" s="49">
        <v>660</v>
      </c>
      <c r="O37" s="49">
        <v>726</v>
      </c>
      <c r="P37" s="49">
        <f t="shared" si="19"/>
        <v>0</v>
      </c>
      <c r="Q37" s="94">
        <f t="shared" si="20"/>
        <v>0</v>
      </c>
      <c r="S37" s="48">
        <v>33</v>
      </c>
      <c r="T37" s="16">
        <f t="shared" si="14"/>
        <v>33</v>
      </c>
      <c r="U37" s="177">
        <f t="shared" si="32"/>
        <v>825</v>
      </c>
      <c r="V37" s="49">
        <f t="shared" si="5"/>
        <v>907.5</v>
      </c>
      <c r="W37" s="49">
        <v>825</v>
      </c>
      <c r="X37" s="49">
        <v>907.5</v>
      </c>
      <c r="Y37" s="49">
        <f t="shared" si="21"/>
        <v>0</v>
      </c>
      <c r="Z37" s="94">
        <f t="shared" si="22"/>
        <v>0</v>
      </c>
      <c r="AB37" s="48">
        <v>33</v>
      </c>
      <c r="AC37" s="16">
        <f t="shared" si="15"/>
        <v>33</v>
      </c>
      <c r="AD37" s="177">
        <f t="shared" si="33"/>
        <v>990</v>
      </c>
      <c r="AE37" s="49">
        <f t="shared" si="7"/>
        <v>1089</v>
      </c>
      <c r="AF37" s="49">
        <v>924</v>
      </c>
      <c r="AG37" s="49">
        <v>1016.4</v>
      </c>
      <c r="AH37" s="49">
        <f t="shared" si="23"/>
        <v>72.600000000000023</v>
      </c>
      <c r="AI37" s="94">
        <f t="shared" si="24"/>
        <v>7.1428571428571452E-2</v>
      </c>
      <c r="AK37" s="48">
        <v>33</v>
      </c>
      <c r="AL37" s="16">
        <f t="shared" si="16"/>
        <v>33</v>
      </c>
      <c r="AM37" s="177">
        <f t="shared" si="34"/>
        <v>1320</v>
      </c>
      <c r="AN37" s="49">
        <f t="shared" si="9"/>
        <v>1452</v>
      </c>
      <c r="AO37" s="49">
        <v>990</v>
      </c>
      <c r="AP37" s="49">
        <v>1089</v>
      </c>
      <c r="AQ37" s="49">
        <f t="shared" si="25"/>
        <v>363</v>
      </c>
      <c r="AR37" s="94">
        <f t="shared" si="26"/>
        <v>0.33333333333333331</v>
      </c>
      <c r="AT37" s="48">
        <v>33</v>
      </c>
      <c r="AU37" s="16">
        <f t="shared" si="17"/>
        <v>33</v>
      </c>
      <c r="AV37" s="177">
        <f t="shared" si="35"/>
        <v>1782</v>
      </c>
      <c r="AW37" s="49">
        <f t="shared" si="11"/>
        <v>1960.2</v>
      </c>
      <c r="AX37" s="2">
        <v>1485</v>
      </c>
      <c r="AY37" s="2">
        <v>1633.5</v>
      </c>
      <c r="AZ37" s="49">
        <f t="shared" si="27"/>
        <v>326.70000000000005</v>
      </c>
      <c r="BA37" s="94">
        <f t="shared" si="28"/>
        <v>0.20000000000000004</v>
      </c>
    </row>
    <row r="38" spans="1:53" x14ac:dyDescent="0.3">
      <c r="A38" s="48">
        <v>34</v>
      </c>
      <c r="B38" s="16">
        <f t="shared" si="12"/>
        <v>34</v>
      </c>
      <c r="C38" s="177">
        <f t="shared" si="29"/>
        <v>612</v>
      </c>
      <c r="D38" s="49">
        <f t="shared" si="1"/>
        <v>673.2</v>
      </c>
      <c r="E38" s="2">
        <v>612</v>
      </c>
      <c r="F38" s="49">
        <v>673.2</v>
      </c>
      <c r="G38" s="49">
        <f t="shared" si="18"/>
        <v>0</v>
      </c>
      <c r="H38" s="94">
        <f t="shared" si="30"/>
        <v>0</v>
      </c>
      <c r="J38" s="48">
        <v>34</v>
      </c>
      <c r="K38" s="16">
        <f t="shared" si="13"/>
        <v>34</v>
      </c>
      <c r="L38" s="177">
        <f t="shared" si="31"/>
        <v>680</v>
      </c>
      <c r="M38" s="49">
        <f t="shared" si="3"/>
        <v>748</v>
      </c>
      <c r="N38" s="49">
        <v>680</v>
      </c>
      <c r="O38" s="49">
        <v>748</v>
      </c>
      <c r="P38" s="49">
        <f t="shared" si="19"/>
        <v>0</v>
      </c>
      <c r="Q38" s="94">
        <f t="shared" si="20"/>
        <v>0</v>
      </c>
      <c r="S38" s="48">
        <v>34</v>
      </c>
      <c r="T38" s="16">
        <f t="shared" si="14"/>
        <v>34</v>
      </c>
      <c r="U38" s="177">
        <f t="shared" si="32"/>
        <v>850</v>
      </c>
      <c r="V38" s="49">
        <f t="shared" si="5"/>
        <v>935</v>
      </c>
      <c r="W38" s="49">
        <v>850</v>
      </c>
      <c r="X38" s="49">
        <v>935</v>
      </c>
      <c r="Y38" s="49">
        <f t="shared" si="21"/>
        <v>0</v>
      </c>
      <c r="Z38" s="94">
        <f t="shared" si="22"/>
        <v>0</v>
      </c>
      <c r="AB38" s="48">
        <v>34</v>
      </c>
      <c r="AC38" s="16">
        <f t="shared" si="15"/>
        <v>34</v>
      </c>
      <c r="AD38" s="177">
        <f t="shared" si="33"/>
        <v>1020</v>
      </c>
      <c r="AE38" s="49">
        <f t="shared" si="7"/>
        <v>1122</v>
      </c>
      <c r="AF38" s="49">
        <v>952</v>
      </c>
      <c r="AG38" s="49">
        <v>1047.2</v>
      </c>
      <c r="AH38" s="49">
        <f t="shared" si="23"/>
        <v>74.799999999999955</v>
      </c>
      <c r="AI38" s="94">
        <f t="shared" si="24"/>
        <v>7.1428571428571383E-2</v>
      </c>
      <c r="AK38" s="48">
        <v>34</v>
      </c>
      <c r="AL38" s="16">
        <f t="shared" si="16"/>
        <v>34</v>
      </c>
      <c r="AM38" s="177">
        <f t="shared" si="34"/>
        <v>1360</v>
      </c>
      <c r="AN38" s="49">
        <f t="shared" si="9"/>
        <v>1496</v>
      </c>
      <c r="AO38" s="49">
        <v>1020</v>
      </c>
      <c r="AP38" s="49">
        <v>1122</v>
      </c>
      <c r="AQ38" s="49">
        <f t="shared" si="25"/>
        <v>374</v>
      </c>
      <c r="AR38" s="94">
        <f t="shared" si="26"/>
        <v>0.33333333333333331</v>
      </c>
      <c r="AT38" s="48">
        <v>34</v>
      </c>
      <c r="AU38" s="16">
        <f t="shared" si="17"/>
        <v>34</v>
      </c>
      <c r="AV38" s="177">
        <f t="shared" si="35"/>
        <v>1836</v>
      </c>
      <c r="AW38" s="49">
        <f t="shared" si="11"/>
        <v>2019.6</v>
      </c>
      <c r="AX38" s="2">
        <v>1530</v>
      </c>
      <c r="AY38" s="2">
        <v>1683</v>
      </c>
      <c r="AZ38" s="49">
        <f t="shared" si="27"/>
        <v>336.59999999999991</v>
      </c>
      <c r="BA38" s="94">
        <f t="shared" si="28"/>
        <v>0.19999999999999996</v>
      </c>
    </row>
    <row r="39" spans="1:53" x14ac:dyDescent="0.3">
      <c r="A39" s="48">
        <v>35</v>
      </c>
      <c r="B39" s="16">
        <f t="shared" si="12"/>
        <v>35</v>
      </c>
      <c r="C39" s="177">
        <f t="shared" si="29"/>
        <v>630</v>
      </c>
      <c r="D39" s="49">
        <f t="shared" si="1"/>
        <v>693</v>
      </c>
      <c r="E39" s="2">
        <v>630</v>
      </c>
      <c r="F39" s="49">
        <v>693</v>
      </c>
      <c r="G39" s="49">
        <f t="shared" si="18"/>
        <v>0</v>
      </c>
      <c r="H39" s="94">
        <f t="shared" si="30"/>
        <v>0</v>
      </c>
      <c r="J39" s="48">
        <v>35</v>
      </c>
      <c r="K39" s="16">
        <f t="shared" si="13"/>
        <v>35</v>
      </c>
      <c r="L39" s="177">
        <f t="shared" si="31"/>
        <v>700</v>
      </c>
      <c r="M39" s="49">
        <f t="shared" si="3"/>
        <v>770</v>
      </c>
      <c r="N39" s="49">
        <v>700</v>
      </c>
      <c r="O39" s="49">
        <v>770</v>
      </c>
      <c r="P39" s="49">
        <f t="shared" si="19"/>
        <v>0</v>
      </c>
      <c r="Q39" s="94">
        <f t="shared" si="20"/>
        <v>0</v>
      </c>
      <c r="S39" s="48">
        <v>35</v>
      </c>
      <c r="T39" s="16">
        <f t="shared" si="14"/>
        <v>35</v>
      </c>
      <c r="U39" s="177">
        <f t="shared" si="32"/>
        <v>875</v>
      </c>
      <c r="V39" s="49">
        <f t="shared" si="5"/>
        <v>962.5</v>
      </c>
      <c r="W39" s="49">
        <v>875</v>
      </c>
      <c r="X39" s="49">
        <v>962.5</v>
      </c>
      <c r="Y39" s="49">
        <f t="shared" si="21"/>
        <v>0</v>
      </c>
      <c r="Z39" s="94">
        <f t="shared" si="22"/>
        <v>0</v>
      </c>
      <c r="AB39" s="48">
        <v>35</v>
      </c>
      <c r="AC39" s="16">
        <f t="shared" si="15"/>
        <v>35</v>
      </c>
      <c r="AD39" s="177">
        <f t="shared" si="33"/>
        <v>1050</v>
      </c>
      <c r="AE39" s="49">
        <f t="shared" si="7"/>
        <v>1155</v>
      </c>
      <c r="AF39" s="49">
        <v>980</v>
      </c>
      <c r="AG39" s="49">
        <v>1078</v>
      </c>
      <c r="AH39" s="49">
        <f t="shared" si="23"/>
        <v>77</v>
      </c>
      <c r="AI39" s="94">
        <f t="shared" si="24"/>
        <v>7.1428571428571425E-2</v>
      </c>
      <c r="AK39" s="48">
        <v>35</v>
      </c>
      <c r="AL39" s="16">
        <f t="shared" si="16"/>
        <v>35</v>
      </c>
      <c r="AM39" s="177">
        <f t="shared" si="34"/>
        <v>1400</v>
      </c>
      <c r="AN39" s="49">
        <f t="shared" si="9"/>
        <v>1540</v>
      </c>
      <c r="AO39" s="49">
        <v>1050</v>
      </c>
      <c r="AP39" s="49">
        <v>1155</v>
      </c>
      <c r="AQ39" s="49">
        <f t="shared" si="25"/>
        <v>385</v>
      </c>
      <c r="AR39" s="94">
        <f t="shared" si="26"/>
        <v>0.33333333333333331</v>
      </c>
      <c r="AT39" s="48">
        <v>35</v>
      </c>
      <c r="AU39" s="16">
        <f t="shared" si="17"/>
        <v>35</v>
      </c>
      <c r="AV39" s="177">
        <f t="shared" si="35"/>
        <v>1890</v>
      </c>
      <c r="AW39" s="49">
        <f t="shared" si="11"/>
        <v>2079</v>
      </c>
      <c r="AX39" s="2">
        <v>1575</v>
      </c>
      <c r="AY39" s="2">
        <v>1732.5</v>
      </c>
      <c r="AZ39" s="49">
        <f t="shared" si="27"/>
        <v>346.5</v>
      </c>
      <c r="BA39" s="94">
        <f t="shared" si="28"/>
        <v>0.2</v>
      </c>
    </row>
    <row r="40" spans="1:53" x14ac:dyDescent="0.3">
      <c r="A40" s="48">
        <v>36</v>
      </c>
      <c r="B40" s="16">
        <f t="shared" si="12"/>
        <v>36</v>
      </c>
      <c r="C40" s="177">
        <f t="shared" si="29"/>
        <v>648</v>
      </c>
      <c r="D40" s="49">
        <f t="shared" si="1"/>
        <v>712.8</v>
      </c>
      <c r="E40" s="2">
        <v>648</v>
      </c>
      <c r="F40" s="49">
        <v>712.8</v>
      </c>
      <c r="G40" s="49">
        <f t="shared" si="18"/>
        <v>0</v>
      </c>
      <c r="H40" s="94">
        <f t="shared" si="30"/>
        <v>0</v>
      </c>
      <c r="J40" s="48">
        <v>36</v>
      </c>
      <c r="K40" s="16">
        <f t="shared" si="13"/>
        <v>36</v>
      </c>
      <c r="L40" s="177">
        <f t="shared" si="31"/>
        <v>720</v>
      </c>
      <c r="M40" s="49">
        <f t="shared" si="3"/>
        <v>792</v>
      </c>
      <c r="N40" s="49">
        <v>720</v>
      </c>
      <c r="O40" s="49">
        <v>792</v>
      </c>
      <c r="P40" s="49">
        <f t="shared" si="19"/>
        <v>0</v>
      </c>
      <c r="Q40" s="94">
        <f t="shared" si="20"/>
        <v>0</v>
      </c>
      <c r="S40" s="48">
        <v>36</v>
      </c>
      <c r="T40" s="16">
        <f t="shared" si="14"/>
        <v>36</v>
      </c>
      <c r="U40" s="177">
        <f t="shared" si="32"/>
        <v>900</v>
      </c>
      <c r="V40" s="49">
        <f t="shared" si="5"/>
        <v>990</v>
      </c>
      <c r="W40" s="49">
        <v>900</v>
      </c>
      <c r="X40" s="49">
        <v>990</v>
      </c>
      <c r="Y40" s="49">
        <f t="shared" si="21"/>
        <v>0</v>
      </c>
      <c r="Z40" s="94">
        <f t="shared" si="22"/>
        <v>0</v>
      </c>
      <c r="AB40" s="48">
        <v>36</v>
      </c>
      <c r="AC40" s="16">
        <f t="shared" si="15"/>
        <v>36</v>
      </c>
      <c r="AD40" s="177">
        <f t="shared" si="33"/>
        <v>1080</v>
      </c>
      <c r="AE40" s="49">
        <f t="shared" si="7"/>
        <v>1188</v>
      </c>
      <c r="AF40" s="49">
        <v>1008</v>
      </c>
      <c r="AG40" s="49">
        <v>1108.8</v>
      </c>
      <c r="AH40" s="49">
        <f t="shared" si="23"/>
        <v>79.200000000000045</v>
      </c>
      <c r="AI40" s="94">
        <f t="shared" si="24"/>
        <v>7.1428571428571466E-2</v>
      </c>
      <c r="AK40" s="48">
        <v>36</v>
      </c>
      <c r="AL40" s="16">
        <f t="shared" si="16"/>
        <v>36</v>
      </c>
      <c r="AM40" s="177">
        <f t="shared" si="34"/>
        <v>1440</v>
      </c>
      <c r="AN40" s="49">
        <f t="shared" si="9"/>
        <v>1584</v>
      </c>
      <c r="AO40" s="49">
        <v>1080</v>
      </c>
      <c r="AP40" s="49">
        <v>1188</v>
      </c>
      <c r="AQ40" s="49">
        <f t="shared" si="25"/>
        <v>396</v>
      </c>
      <c r="AR40" s="94">
        <f t="shared" si="26"/>
        <v>0.33333333333333331</v>
      </c>
      <c r="AT40" s="48">
        <v>36</v>
      </c>
      <c r="AU40" s="16">
        <f t="shared" si="17"/>
        <v>36</v>
      </c>
      <c r="AV40" s="177">
        <f t="shared" si="35"/>
        <v>1944</v>
      </c>
      <c r="AW40" s="49">
        <f t="shared" si="11"/>
        <v>2138.4</v>
      </c>
      <c r="AX40" s="2">
        <v>1620</v>
      </c>
      <c r="AY40" s="2">
        <v>1782</v>
      </c>
      <c r="AZ40" s="49">
        <f t="shared" si="27"/>
        <v>356.40000000000009</v>
      </c>
      <c r="BA40" s="94">
        <f t="shared" si="28"/>
        <v>0.20000000000000004</v>
      </c>
    </row>
    <row r="41" spans="1:53" x14ac:dyDescent="0.3">
      <c r="A41" s="48">
        <v>37</v>
      </c>
      <c r="B41" s="16">
        <f t="shared" si="12"/>
        <v>37</v>
      </c>
      <c r="C41" s="177">
        <f t="shared" si="29"/>
        <v>666</v>
      </c>
      <c r="D41" s="49">
        <f t="shared" si="1"/>
        <v>732.6</v>
      </c>
      <c r="E41" s="2">
        <v>666</v>
      </c>
      <c r="F41" s="49">
        <v>732.6</v>
      </c>
      <c r="G41" s="49">
        <f t="shared" si="18"/>
        <v>0</v>
      </c>
      <c r="H41" s="94">
        <f t="shared" si="30"/>
        <v>0</v>
      </c>
      <c r="J41" s="48">
        <v>37</v>
      </c>
      <c r="K41" s="16">
        <f t="shared" si="13"/>
        <v>37</v>
      </c>
      <c r="L41" s="177">
        <f t="shared" si="31"/>
        <v>740</v>
      </c>
      <c r="M41" s="49">
        <f t="shared" si="3"/>
        <v>814</v>
      </c>
      <c r="N41" s="49">
        <v>740</v>
      </c>
      <c r="O41" s="49">
        <v>814</v>
      </c>
      <c r="P41" s="49">
        <f t="shared" si="19"/>
        <v>0</v>
      </c>
      <c r="Q41" s="94">
        <f t="shared" si="20"/>
        <v>0</v>
      </c>
      <c r="S41" s="48">
        <v>37</v>
      </c>
      <c r="T41" s="16">
        <f t="shared" si="14"/>
        <v>37</v>
      </c>
      <c r="U41" s="177">
        <f t="shared" si="32"/>
        <v>925</v>
      </c>
      <c r="V41" s="49">
        <f t="shared" si="5"/>
        <v>1017.5</v>
      </c>
      <c r="W41" s="49">
        <v>925</v>
      </c>
      <c r="X41" s="49">
        <v>1017.5</v>
      </c>
      <c r="Y41" s="49">
        <f t="shared" si="21"/>
        <v>0</v>
      </c>
      <c r="Z41" s="94">
        <f t="shared" si="22"/>
        <v>0</v>
      </c>
      <c r="AB41" s="48">
        <v>37</v>
      </c>
      <c r="AC41" s="16">
        <f t="shared" si="15"/>
        <v>37</v>
      </c>
      <c r="AD41" s="177">
        <f t="shared" si="33"/>
        <v>1110</v>
      </c>
      <c r="AE41" s="49">
        <f t="shared" si="7"/>
        <v>1221</v>
      </c>
      <c r="AF41" s="49">
        <v>1036</v>
      </c>
      <c r="AG41" s="49">
        <v>1139.5999999999999</v>
      </c>
      <c r="AH41" s="49">
        <f t="shared" si="23"/>
        <v>81.400000000000091</v>
      </c>
      <c r="AI41" s="94">
        <f t="shared" si="24"/>
        <v>7.1428571428571508E-2</v>
      </c>
      <c r="AK41" s="48">
        <v>37</v>
      </c>
      <c r="AL41" s="16">
        <f t="shared" si="16"/>
        <v>37</v>
      </c>
      <c r="AM41" s="177">
        <f t="shared" si="34"/>
        <v>1480</v>
      </c>
      <c r="AN41" s="49">
        <f t="shared" si="9"/>
        <v>1628</v>
      </c>
      <c r="AO41" s="49">
        <v>1110</v>
      </c>
      <c r="AP41" s="49">
        <v>1221</v>
      </c>
      <c r="AQ41" s="49">
        <f t="shared" si="25"/>
        <v>407</v>
      </c>
      <c r="AR41" s="94">
        <f t="shared" si="26"/>
        <v>0.33333333333333331</v>
      </c>
      <c r="AT41" s="48">
        <v>37</v>
      </c>
      <c r="AU41" s="16">
        <f t="shared" si="17"/>
        <v>37</v>
      </c>
      <c r="AV41" s="177">
        <f t="shared" si="35"/>
        <v>1998</v>
      </c>
      <c r="AW41" s="49">
        <f t="shared" si="11"/>
        <v>2197.8000000000002</v>
      </c>
      <c r="AX41" s="2">
        <v>1665</v>
      </c>
      <c r="AY41" s="2">
        <v>1831.5</v>
      </c>
      <c r="AZ41" s="49">
        <f t="shared" si="27"/>
        <v>366.30000000000018</v>
      </c>
      <c r="BA41" s="94">
        <f t="shared" si="28"/>
        <v>0.20000000000000009</v>
      </c>
    </row>
    <row r="42" spans="1:53" x14ac:dyDescent="0.3">
      <c r="A42" s="48">
        <v>38</v>
      </c>
      <c r="B42" s="16">
        <f t="shared" si="12"/>
        <v>38</v>
      </c>
      <c r="C42" s="177">
        <f t="shared" si="29"/>
        <v>684</v>
      </c>
      <c r="D42" s="49">
        <f t="shared" si="1"/>
        <v>752.4</v>
      </c>
      <c r="E42" s="2">
        <v>684</v>
      </c>
      <c r="F42" s="49">
        <v>752.4</v>
      </c>
      <c r="G42" s="49">
        <f t="shared" si="18"/>
        <v>0</v>
      </c>
      <c r="H42" s="94">
        <f t="shared" si="30"/>
        <v>0</v>
      </c>
      <c r="J42" s="48">
        <v>38</v>
      </c>
      <c r="K42" s="16">
        <f t="shared" si="13"/>
        <v>38</v>
      </c>
      <c r="L42" s="177">
        <f t="shared" si="31"/>
        <v>760</v>
      </c>
      <c r="M42" s="49">
        <f t="shared" si="3"/>
        <v>836</v>
      </c>
      <c r="N42" s="49">
        <v>760</v>
      </c>
      <c r="O42" s="49">
        <v>836</v>
      </c>
      <c r="P42" s="49">
        <f t="shared" si="19"/>
        <v>0</v>
      </c>
      <c r="Q42" s="94">
        <f t="shared" si="20"/>
        <v>0</v>
      </c>
      <c r="S42" s="48">
        <v>38</v>
      </c>
      <c r="T42" s="16">
        <f t="shared" si="14"/>
        <v>38</v>
      </c>
      <c r="U42" s="177">
        <f t="shared" si="32"/>
        <v>950</v>
      </c>
      <c r="V42" s="49">
        <f t="shared" si="5"/>
        <v>1045</v>
      </c>
      <c r="W42" s="49">
        <v>950</v>
      </c>
      <c r="X42" s="49">
        <v>1045</v>
      </c>
      <c r="Y42" s="49">
        <f t="shared" si="21"/>
        <v>0</v>
      </c>
      <c r="Z42" s="94">
        <f t="shared" si="22"/>
        <v>0</v>
      </c>
      <c r="AB42" s="48">
        <v>38</v>
      </c>
      <c r="AC42" s="16">
        <f t="shared" si="15"/>
        <v>38</v>
      </c>
      <c r="AD42" s="177">
        <f t="shared" si="33"/>
        <v>1140</v>
      </c>
      <c r="AE42" s="49">
        <f t="shared" si="7"/>
        <v>1254</v>
      </c>
      <c r="AF42" s="49">
        <v>1064</v>
      </c>
      <c r="AG42" s="49">
        <v>1170.4000000000001</v>
      </c>
      <c r="AH42" s="49">
        <f t="shared" si="23"/>
        <v>83.599999999999909</v>
      </c>
      <c r="AI42" s="94">
        <f t="shared" si="24"/>
        <v>7.1428571428571341E-2</v>
      </c>
      <c r="AK42" s="48">
        <v>38</v>
      </c>
      <c r="AL42" s="16">
        <f t="shared" si="16"/>
        <v>38</v>
      </c>
      <c r="AM42" s="177">
        <f t="shared" si="34"/>
        <v>1520</v>
      </c>
      <c r="AN42" s="49">
        <f t="shared" si="9"/>
        <v>1672</v>
      </c>
      <c r="AO42" s="49">
        <v>1140</v>
      </c>
      <c r="AP42" s="49">
        <v>1254</v>
      </c>
      <c r="AQ42" s="49">
        <f t="shared" si="25"/>
        <v>418</v>
      </c>
      <c r="AR42" s="94">
        <f t="shared" si="26"/>
        <v>0.33333333333333331</v>
      </c>
      <c r="AT42" s="48">
        <v>38</v>
      </c>
      <c r="AU42" s="16">
        <f t="shared" si="17"/>
        <v>38</v>
      </c>
      <c r="AV42" s="177">
        <f t="shared" si="35"/>
        <v>2052</v>
      </c>
      <c r="AW42" s="49">
        <f t="shared" si="11"/>
        <v>2257.1999999999998</v>
      </c>
      <c r="AX42" s="2">
        <v>1710</v>
      </c>
      <c r="AY42" s="2">
        <v>1881</v>
      </c>
      <c r="AZ42" s="49">
        <f t="shared" si="27"/>
        <v>376.19999999999982</v>
      </c>
      <c r="BA42" s="94">
        <f t="shared" si="28"/>
        <v>0.1999999999999999</v>
      </c>
    </row>
    <row r="43" spans="1:53" x14ac:dyDescent="0.3">
      <c r="A43" s="48">
        <v>39</v>
      </c>
      <c r="B43" s="16">
        <f t="shared" si="12"/>
        <v>39</v>
      </c>
      <c r="C43" s="177">
        <f t="shared" si="29"/>
        <v>702</v>
      </c>
      <c r="D43" s="49">
        <f t="shared" si="1"/>
        <v>772.2</v>
      </c>
      <c r="E43" s="2">
        <v>702</v>
      </c>
      <c r="F43" s="49">
        <v>772.2</v>
      </c>
      <c r="G43" s="49">
        <f t="shared" si="18"/>
        <v>0</v>
      </c>
      <c r="H43" s="94">
        <f t="shared" si="30"/>
        <v>0</v>
      </c>
      <c r="J43" s="48">
        <v>39</v>
      </c>
      <c r="K43" s="16">
        <f t="shared" si="13"/>
        <v>39</v>
      </c>
      <c r="L43" s="177">
        <f t="shared" si="31"/>
        <v>780</v>
      </c>
      <c r="M43" s="49">
        <f t="shared" si="3"/>
        <v>858</v>
      </c>
      <c r="N43" s="49">
        <v>780</v>
      </c>
      <c r="O43" s="49">
        <v>858</v>
      </c>
      <c r="P43" s="49">
        <f t="shared" si="19"/>
        <v>0</v>
      </c>
      <c r="Q43" s="94">
        <f t="shared" si="20"/>
        <v>0</v>
      </c>
      <c r="S43" s="48">
        <v>39</v>
      </c>
      <c r="T43" s="16">
        <f t="shared" si="14"/>
        <v>39</v>
      </c>
      <c r="U43" s="177">
        <f t="shared" si="32"/>
        <v>975</v>
      </c>
      <c r="V43" s="49">
        <f t="shared" si="5"/>
        <v>1072.5</v>
      </c>
      <c r="W43" s="49">
        <v>975</v>
      </c>
      <c r="X43" s="49">
        <v>1072.5</v>
      </c>
      <c r="Y43" s="49">
        <f t="shared" si="21"/>
        <v>0</v>
      </c>
      <c r="Z43" s="94">
        <f t="shared" si="22"/>
        <v>0</v>
      </c>
      <c r="AB43" s="48">
        <v>39</v>
      </c>
      <c r="AC43" s="16">
        <f t="shared" si="15"/>
        <v>39</v>
      </c>
      <c r="AD43" s="177">
        <f t="shared" si="33"/>
        <v>1170</v>
      </c>
      <c r="AE43" s="49">
        <f t="shared" si="7"/>
        <v>1287</v>
      </c>
      <c r="AF43" s="49">
        <v>1092</v>
      </c>
      <c r="AG43" s="49">
        <v>1201.2</v>
      </c>
      <c r="AH43" s="49">
        <f t="shared" si="23"/>
        <v>85.799999999999955</v>
      </c>
      <c r="AI43" s="94">
        <f t="shared" si="24"/>
        <v>7.1428571428571383E-2</v>
      </c>
      <c r="AK43" s="48">
        <v>39</v>
      </c>
      <c r="AL43" s="16">
        <f t="shared" si="16"/>
        <v>39</v>
      </c>
      <c r="AM43" s="177">
        <f t="shared" si="34"/>
        <v>1560</v>
      </c>
      <c r="AN43" s="49">
        <f t="shared" si="9"/>
        <v>1716</v>
      </c>
      <c r="AO43" s="49">
        <v>1170</v>
      </c>
      <c r="AP43" s="49">
        <v>1287</v>
      </c>
      <c r="AQ43" s="49">
        <f t="shared" si="25"/>
        <v>429</v>
      </c>
      <c r="AR43" s="94">
        <f t="shared" si="26"/>
        <v>0.33333333333333331</v>
      </c>
      <c r="AT43" s="48">
        <v>39</v>
      </c>
      <c r="AU43" s="16">
        <f t="shared" si="17"/>
        <v>39</v>
      </c>
      <c r="AV43" s="177">
        <f t="shared" si="35"/>
        <v>2106</v>
      </c>
      <c r="AW43" s="49">
        <f t="shared" si="11"/>
        <v>2316.6</v>
      </c>
      <c r="AX43" s="2">
        <v>1755</v>
      </c>
      <c r="AY43" s="2">
        <v>1930.5</v>
      </c>
      <c r="AZ43" s="49">
        <f t="shared" si="27"/>
        <v>386.09999999999991</v>
      </c>
      <c r="BA43" s="94">
        <f t="shared" si="28"/>
        <v>0.19999999999999996</v>
      </c>
    </row>
    <row r="44" spans="1:53" x14ac:dyDescent="0.3">
      <c r="A44" s="48">
        <v>40</v>
      </c>
      <c r="B44" s="16">
        <f t="shared" si="12"/>
        <v>40</v>
      </c>
      <c r="C44" s="177">
        <f t="shared" si="29"/>
        <v>720</v>
      </c>
      <c r="D44" s="49">
        <f t="shared" si="1"/>
        <v>792</v>
      </c>
      <c r="E44" s="2">
        <v>720</v>
      </c>
      <c r="F44" s="49">
        <v>792</v>
      </c>
      <c r="G44" s="49">
        <f t="shared" si="18"/>
        <v>0</v>
      </c>
      <c r="H44" s="94">
        <f t="shared" si="30"/>
        <v>0</v>
      </c>
      <c r="J44" s="48">
        <v>40</v>
      </c>
      <c r="K44" s="16">
        <f t="shared" si="13"/>
        <v>40</v>
      </c>
      <c r="L44" s="177">
        <f t="shared" si="31"/>
        <v>800</v>
      </c>
      <c r="M44" s="49">
        <f t="shared" si="3"/>
        <v>880</v>
      </c>
      <c r="N44" s="49">
        <v>800</v>
      </c>
      <c r="O44" s="49">
        <v>880</v>
      </c>
      <c r="P44" s="49">
        <f t="shared" si="19"/>
        <v>0</v>
      </c>
      <c r="Q44" s="94">
        <f t="shared" si="20"/>
        <v>0</v>
      </c>
      <c r="S44" s="48">
        <v>40</v>
      </c>
      <c r="T44" s="16">
        <f t="shared" si="14"/>
        <v>40</v>
      </c>
      <c r="U44" s="177">
        <f t="shared" si="32"/>
        <v>1000</v>
      </c>
      <c r="V44" s="49">
        <f t="shared" si="5"/>
        <v>1100</v>
      </c>
      <c r="W44" s="49">
        <v>1000</v>
      </c>
      <c r="X44" s="49">
        <v>1100</v>
      </c>
      <c r="Y44" s="49">
        <f t="shared" si="21"/>
        <v>0</v>
      </c>
      <c r="Z44" s="94">
        <f t="shared" si="22"/>
        <v>0</v>
      </c>
      <c r="AB44" s="48">
        <v>40</v>
      </c>
      <c r="AC44" s="16">
        <f t="shared" si="15"/>
        <v>40</v>
      </c>
      <c r="AD44" s="177">
        <f t="shared" si="33"/>
        <v>1200</v>
      </c>
      <c r="AE44" s="49">
        <f t="shared" si="7"/>
        <v>1320</v>
      </c>
      <c r="AF44" s="49">
        <v>1120</v>
      </c>
      <c r="AG44" s="49">
        <v>1232</v>
      </c>
      <c r="AH44" s="49">
        <f t="shared" si="23"/>
        <v>88</v>
      </c>
      <c r="AI44" s="94">
        <f t="shared" si="24"/>
        <v>7.1428571428571425E-2</v>
      </c>
      <c r="AK44" s="48">
        <v>40</v>
      </c>
      <c r="AL44" s="16">
        <f t="shared" si="16"/>
        <v>40</v>
      </c>
      <c r="AM44" s="177">
        <f t="shared" si="34"/>
        <v>1600</v>
      </c>
      <c r="AN44" s="49">
        <f t="shared" si="9"/>
        <v>1760</v>
      </c>
      <c r="AO44" s="49">
        <v>1200</v>
      </c>
      <c r="AP44" s="49">
        <v>1320</v>
      </c>
      <c r="AQ44" s="49">
        <f t="shared" si="25"/>
        <v>440</v>
      </c>
      <c r="AR44" s="94">
        <f t="shared" si="26"/>
        <v>0.33333333333333331</v>
      </c>
      <c r="AT44" s="48">
        <v>40</v>
      </c>
      <c r="AU44" s="16">
        <f t="shared" si="17"/>
        <v>40</v>
      </c>
      <c r="AV44" s="177">
        <f t="shared" si="35"/>
        <v>2160</v>
      </c>
      <c r="AW44" s="49">
        <f t="shared" si="11"/>
        <v>2376</v>
      </c>
      <c r="AX44" s="2">
        <v>1800</v>
      </c>
      <c r="AY44" s="2">
        <v>1980</v>
      </c>
      <c r="AZ44" s="49">
        <f t="shared" si="27"/>
        <v>396</v>
      </c>
      <c r="BA44" s="94">
        <f t="shared" si="28"/>
        <v>0.2</v>
      </c>
    </row>
    <row r="45" spans="1:53" x14ac:dyDescent="0.3">
      <c r="A45" s="48">
        <v>41</v>
      </c>
      <c r="B45" s="16">
        <f t="shared" si="12"/>
        <v>41</v>
      </c>
      <c r="C45" s="177">
        <f t="shared" si="29"/>
        <v>738</v>
      </c>
      <c r="D45" s="49">
        <f t="shared" si="1"/>
        <v>811.8</v>
      </c>
      <c r="E45" s="2">
        <v>738</v>
      </c>
      <c r="F45" s="49">
        <v>811.8</v>
      </c>
      <c r="G45" s="49">
        <f t="shared" si="18"/>
        <v>0</v>
      </c>
      <c r="H45" s="94">
        <f t="shared" si="30"/>
        <v>0</v>
      </c>
      <c r="J45" s="48">
        <v>41</v>
      </c>
      <c r="K45" s="16">
        <f t="shared" si="13"/>
        <v>41</v>
      </c>
      <c r="L45" s="177">
        <f t="shared" si="31"/>
        <v>820</v>
      </c>
      <c r="M45" s="49">
        <f t="shared" si="3"/>
        <v>902</v>
      </c>
      <c r="N45" s="49">
        <v>820</v>
      </c>
      <c r="O45" s="49">
        <v>902</v>
      </c>
      <c r="P45" s="49">
        <f t="shared" si="19"/>
        <v>0</v>
      </c>
      <c r="Q45" s="94">
        <f t="shared" si="20"/>
        <v>0</v>
      </c>
      <c r="S45" s="48">
        <v>41</v>
      </c>
      <c r="T45" s="16">
        <f t="shared" si="14"/>
        <v>41</v>
      </c>
      <c r="U45" s="177">
        <f t="shared" si="32"/>
        <v>1025</v>
      </c>
      <c r="V45" s="49">
        <f t="shared" si="5"/>
        <v>1127.5</v>
      </c>
      <c r="W45" s="49">
        <v>1025</v>
      </c>
      <c r="X45" s="49">
        <v>1127.5</v>
      </c>
      <c r="Y45" s="49">
        <f t="shared" si="21"/>
        <v>0</v>
      </c>
      <c r="Z45" s="94">
        <f t="shared" si="22"/>
        <v>0</v>
      </c>
      <c r="AB45" s="48">
        <v>41</v>
      </c>
      <c r="AC45" s="16">
        <f t="shared" si="15"/>
        <v>41</v>
      </c>
      <c r="AD45" s="177">
        <f t="shared" si="33"/>
        <v>1230</v>
      </c>
      <c r="AE45" s="49">
        <f t="shared" si="7"/>
        <v>1353</v>
      </c>
      <c r="AF45" s="49">
        <v>1148</v>
      </c>
      <c r="AG45" s="49">
        <v>1262.8</v>
      </c>
      <c r="AH45" s="49">
        <f t="shared" si="23"/>
        <v>90.200000000000045</v>
      </c>
      <c r="AI45" s="94">
        <f t="shared" si="24"/>
        <v>7.1428571428571466E-2</v>
      </c>
      <c r="AK45" s="48">
        <v>41</v>
      </c>
      <c r="AL45" s="16">
        <f t="shared" si="16"/>
        <v>41</v>
      </c>
      <c r="AM45" s="177">
        <f t="shared" si="34"/>
        <v>1640</v>
      </c>
      <c r="AN45" s="49">
        <f t="shared" si="9"/>
        <v>1804</v>
      </c>
      <c r="AO45" s="49">
        <v>1230</v>
      </c>
      <c r="AP45" s="49">
        <v>1353</v>
      </c>
      <c r="AQ45" s="49">
        <f t="shared" si="25"/>
        <v>451</v>
      </c>
      <c r="AR45" s="94">
        <f t="shared" si="26"/>
        <v>0.33333333333333331</v>
      </c>
      <c r="AT45" s="48">
        <v>41</v>
      </c>
      <c r="AU45" s="16">
        <f t="shared" si="17"/>
        <v>41</v>
      </c>
      <c r="AV45" s="177">
        <f t="shared" si="35"/>
        <v>2214</v>
      </c>
      <c r="AW45" s="49">
        <f t="shared" si="11"/>
        <v>2435.4</v>
      </c>
      <c r="AX45" s="2">
        <v>1845</v>
      </c>
      <c r="AY45" s="2">
        <v>2029.5</v>
      </c>
      <c r="AZ45" s="49">
        <f t="shared" si="27"/>
        <v>405.90000000000009</v>
      </c>
      <c r="BA45" s="94">
        <f t="shared" si="28"/>
        <v>0.20000000000000004</v>
      </c>
    </row>
    <row r="46" spans="1:53" x14ac:dyDescent="0.3">
      <c r="A46" s="48">
        <v>42</v>
      </c>
      <c r="B46" s="16">
        <f t="shared" si="12"/>
        <v>42</v>
      </c>
      <c r="C46" s="177">
        <f t="shared" si="29"/>
        <v>756</v>
      </c>
      <c r="D46" s="49">
        <f t="shared" si="1"/>
        <v>831.6</v>
      </c>
      <c r="E46" s="2">
        <v>756</v>
      </c>
      <c r="F46" s="49">
        <v>831.6</v>
      </c>
      <c r="G46" s="49">
        <f t="shared" si="18"/>
        <v>0</v>
      </c>
      <c r="H46" s="94">
        <f t="shared" si="30"/>
        <v>0</v>
      </c>
      <c r="J46" s="48">
        <v>42</v>
      </c>
      <c r="K46" s="16">
        <f t="shared" si="13"/>
        <v>42</v>
      </c>
      <c r="L46" s="177">
        <f t="shared" si="31"/>
        <v>840</v>
      </c>
      <c r="M46" s="49">
        <f t="shared" si="3"/>
        <v>924</v>
      </c>
      <c r="N46" s="49">
        <v>840</v>
      </c>
      <c r="O46" s="49">
        <v>924</v>
      </c>
      <c r="P46" s="49">
        <f t="shared" si="19"/>
        <v>0</v>
      </c>
      <c r="Q46" s="94">
        <f t="shared" si="20"/>
        <v>0</v>
      </c>
      <c r="S46" s="48">
        <v>42</v>
      </c>
      <c r="T46" s="16">
        <f t="shared" si="14"/>
        <v>42</v>
      </c>
      <c r="U46" s="177">
        <f t="shared" si="32"/>
        <v>1050</v>
      </c>
      <c r="V46" s="49">
        <f t="shared" si="5"/>
        <v>1155</v>
      </c>
      <c r="W46" s="49">
        <v>1050</v>
      </c>
      <c r="X46" s="49">
        <v>1155</v>
      </c>
      <c r="Y46" s="49">
        <f t="shared" si="21"/>
        <v>0</v>
      </c>
      <c r="Z46" s="94">
        <f t="shared" si="22"/>
        <v>0</v>
      </c>
      <c r="AB46" s="48">
        <v>42</v>
      </c>
      <c r="AC46" s="16">
        <f t="shared" si="15"/>
        <v>42</v>
      </c>
      <c r="AD46" s="177">
        <f t="shared" si="33"/>
        <v>1260</v>
      </c>
      <c r="AE46" s="49">
        <f t="shared" si="7"/>
        <v>1386</v>
      </c>
      <c r="AF46" s="49">
        <v>1176</v>
      </c>
      <c r="AG46" s="49">
        <v>1293.5999999999999</v>
      </c>
      <c r="AH46" s="49">
        <f t="shared" si="23"/>
        <v>92.400000000000091</v>
      </c>
      <c r="AI46" s="94">
        <f t="shared" si="24"/>
        <v>7.1428571428571508E-2</v>
      </c>
      <c r="AK46" s="48">
        <v>42</v>
      </c>
      <c r="AL46" s="16">
        <f t="shared" si="16"/>
        <v>42</v>
      </c>
      <c r="AM46" s="177">
        <f t="shared" si="34"/>
        <v>1680</v>
      </c>
      <c r="AN46" s="49">
        <f t="shared" si="9"/>
        <v>1848</v>
      </c>
      <c r="AO46" s="49">
        <v>1260</v>
      </c>
      <c r="AP46" s="49">
        <v>1386</v>
      </c>
      <c r="AQ46" s="49">
        <f t="shared" si="25"/>
        <v>462</v>
      </c>
      <c r="AR46" s="94">
        <f t="shared" si="26"/>
        <v>0.33333333333333331</v>
      </c>
      <c r="AT46" s="48">
        <v>42</v>
      </c>
      <c r="AU46" s="16">
        <f t="shared" si="17"/>
        <v>42</v>
      </c>
      <c r="AV46" s="177">
        <f t="shared" si="35"/>
        <v>2268</v>
      </c>
      <c r="AW46" s="49">
        <f t="shared" si="11"/>
        <v>2494.8000000000002</v>
      </c>
      <c r="AX46" s="2">
        <v>1890</v>
      </c>
      <c r="AY46" s="2">
        <v>2079</v>
      </c>
      <c r="AZ46" s="49">
        <f t="shared" si="27"/>
        <v>415.80000000000018</v>
      </c>
      <c r="BA46" s="94">
        <f t="shared" si="28"/>
        <v>0.20000000000000009</v>
      </c>
    </row>
    <row r="47" spans="1:53" x14ac:dyDescent="0.3">
      <c r="A47" s="48">
        <v>43</v>
      </c>
      <c r="B47" s="16">
        <f t="shared" si="12"/>
        <v>43</v>
      </c>
      <c r="C47" s="177">
        <f t="shared" si="29"/>
        <v>774</v>
      </c>
      <c r="D47" s="49">
        <f t="shared" si="1"/>
        <v>851.4</v>
      </c>
      <c r="E47" s="2">
        <v>774</v>
      </c>
      <c r="F47" s="49">
        <v>851.4</v>
      </c>
      <c r="G47" s="49">
        <f t="shared" si="18"/>
        <v>0</v>
      </c>
      <c r="H47" s="94">
        <f t="shared" si="30"/>
        <v>0</v>
      </c>
      <c r="J47" s="48">
        <v>43</v>
      </c>
      <c r="K47" s="16">
        <f t="shared" si="13"/>
        <v>43</v>
      </c>
      <c r="L47" s="177">
        <f t="shared" si="31"/>
        <v>860</v>
      </c>
      <c r="M47" s="49">
        <f t="shared" si="3"/>
        <v>946</v>
      </c>
      <c r="N47" s="49">
        <v>860</v>
      </c>
      <c r="O47" s="49">
        <v>946</v>
      </c>
      <c r="P47" s="49">
        <f t="shared" si="19"/>
        <v>0</v>
      </c>
      <c r="Q47" s="94">
        <f t="shared" si="20"/>
        <v>0</v>
      </c>
      <c r="S47" s="48">
        <v>43</v>
      </c>
      <c r="T47" s="16">
        <f t="shared" si="14"/>
        <v>43</v>
      </c>
      <c r="U47" s="177">
        <f t="shared" si="32"/>
        <v>1075</v>
      </c>
      <c r="V47" s="49">
        <f t="shared" si="5"/>
        <v>1182.5</v>
      </c>
      <c r="W47" s="49">
        <v>1075</v>
      </c>
      <c r="X47" s="49">
        <v>1182.5</v>
      </c>
      <c r="Y47" s="49">
        <f t="shared" si="21"/>
        <v>0</v>
      </c>
      <c r="Z47" s="94">
        <f t="shared" si="22"/>
        <v>0</v>
      </c>
      <c r="AB47" s="48">
        <v>43</v>
      </c>
      <c r="AC47" s="16">
        <f t="shared" si="15"/>
        <v>43</v>
      </c>
      <c r="AD47" s="177">
        <f t="shared" si="33"/>
        <v>1290</v>
      </c>
      <c r="AE47" s="49">
        <f t="shared" si="7"/>
        <v>1419</v>
      </c>
      <c r="AF47" s="49">
        <v>1204</v>
      </c>
      <c r="AG47" s="49">
        <v>1324.4</v>
      </c>
      <c r="AH47" s="49">
        <f t="shared" si="23"/>
        <v>94.599999999999909</v>
      </c>
      <c r="AI47" s="94">
        <f t="shared" si="24"/>
        <v>7.1428571428571355E-2</v>
      </c>
      <c r="AK47" s="48">
        <v>43</v>
      </c>
      <c r="AL47" s="16">
        <f t="shared" si="16"/>
        <v>43</v>
      </c>
      <c r="AM47" s="177">
        <f t="shared" si="34"/>
        <v>1720</v>
      </c>
      <c r="AN47" s="49">
        <f t="shared" si="9"/>
        <v>1892</v>
      </c>
      <c r="AO47" s="49">
        <v>1290</v>
      </c>
      <c r="AP47" s="49">
        <v>1419</v>
      </c>
      <c r="AQ47" s="49">
        <f t="shared" si="25"/>
        <v>473</v>
      </c>
      <c r="AR47" s="94">
        <f t="shared" si="26"/>
        <v>0.33333333333333331</v>
      </c>
      <c r="AT47" s="48">
        <v>43</v>
      </c>
      <c r="AU47" s="16">
        <f t="shared" si="17"/>
        <v>43</v>
      </c>
      <c r="AV47" s="177">
        <f t="shared" si="35"/>
        <v>2322</v>
      </c>
      <c r="AW47" s="49">
        <f t="shared" si="11"/>
        <v>2554.1999999999998</v>
      </c>
      <c r="AX47" s="2">
        <v>1935</v>
      </c>
      <c r="AY47" s="2">
        <v>2128.5</v>
      </c>
      <c r="AZ47" s="49">
        <f t="shared" si="27"/>
        <v>425.69999999999982</v>
      </c>
      <c r="BA47" s="94">
        <f t="shared" si="28"/>
        <v>0.19999999999999993</v>
      </c>
    </row>
    <row r="48" spans="1:53" x14ac:dyDescent="0.3">
      <c r="A48" s="48">
        <v>44</v>
      </c>
      <c r="B48" s="16">
        <f t="shared" si="12"/>
        <v>44</v>
      </c>
      <c r="C48" s="177">
        <f t="shared" si="29"/>
        <v>792</v>
      </c>
      <c r="D48" s="49">
        <f t="shared" si="1"/>
        <v>871.2</v>
      </c>
      <c r="E48" s="2">
        <v>792</v>
      </c>
      <c r="F48" s="49">
        <v>871.2</v>
      </c>
      <c r="G48" s="49">
        <f t="shared" si="18"/>
        <v>0</v>
      </c>
      <c r="H48" s="94">
        <f t="shared" si="30"/>
        <v>0</v>
      </c>
      <c r="J48" s="48">
        <v>44</v>
      </c>
      <c r="K48" s="16">
        <f t="shared" si="13"/>
        <v>44</v>
      </c>
      <c r="L48" s="177">
        <f t="shared" si="31"/>
        <v>880</v>
      </c>
      <c r="M48" s="49">
        <f t="shared" si="3"/>
        <v>968</v>
      </c>
      <c r="N48" s="49">
        <v>880</v>
      </c>
      <c r="O48" s="49">
        <v>968</v>
      </c>
      <c r="P48" s="49">
        <f t="shared" si="19"/>
        <v>0</v>
      </c>
      <c r="Q48" s="94">
        <f t="shared" si="20"/>
        <v>0</v>
      </c>
      <c r="S48" s="48">
        <v>44</v>
      </c>
      <c r="T48" s="16">
        <f t="shared" si="14"/>
        <v>44</v>
      </c>
      <c r="U48" s="177">
        <f t="shared" si="32"/>
        <v>1100</v>
      </c>
      <c r="V48" s="49">
        <f t="shared" si="5"/>
        <v>1210</v>
      </c>
      <c r="W48" s="49">
        <v>1100</v>
      </c>
      <c r="X48" s="49">
        <v>1210</v>
      </c>
      <c r="Y48" s="49">
        <f t="shared" si="21"/>
        <v>0</v>
      </c>
      <c r="Z48" s="94">
        <f t="shared" si="22"/>
        <v>0</v>
      </c>
      <c r="AB48" s="48">
        <v>44</v>
      </c>
      <c r="AC48" s="16">
        <f t="shared" si="15"/>
        <v>44</v>
      </c>
      <c r="AD48" s="177">
        <f t="shared" si="33"/>
        <v>1320</v>
      </c>
      <c r="AE48" s="49">
        <f t="shared" si="7"/>
        <v>1452</v>
      </c>
      <c r="AF48" s="49">
        <v>1232</v>
      </c>
      <c r="AG48" s="49">
        <v>1355.2</v>
      </c>
      <c r="AH48" s="49">
        <f t="shared" si="23"/>
        <v>96.799999999999955</v>
      </c>
      <c r="AI48" s="94">
        <f t="shared" si="24"/>
        <v>7.1428571428571397E-2</v>
      </c>
      <c r="AK48" s="48">
        <v>44</v>
      </c>
      <c r="AL48" s="16">
        <f t="shared" si="16"/>
        <v>44</v>
      </c>
      <c r="AM48" s="177">
        <f t="shared" si="34"/>
        <v>1760</v>
      </c>
      <c r="AN48" s="49">
        <f t="shared" si="9"/>
        <v>1936</v>
      </c>
      <c r="AO48" s="49">
        <v>1320</v>
      </c>
      <c r="AP48" s="49">
        <v>1452</v>
      </c>
      <c r="AQ48" s="49">
        <f t="shared" si="25"/>
        <v>484</v>
      </c>
      <c r="AR48" s="94">
        <f t="shared" si="26"/>
        <v>0.33333333333333331</v>
      </c>
      <c r="AT48" s="48">
        <v>44</v>
      </c>
      <c r="AU48" s="16">
        <f t="shared" si="17"/>
        <v>44</v>
      </c>
      <c r="AV48" s="177">
        <f t="shared" si="35"/>
        <v>2376</v>
      </c>
      <c r="AW48" s="49">
        <f t="shared" si="11"/>
        <v>2613.6</v>
      </c>
      <c r="AX48" s="2">
        <v>1980</v>
      </c>
      <c r="AY48" s="2">
        <v>2178</v>
      </c>
      <c r="AZ48" s="49">
        <f t="shared" si="27"/>
        <v>435.59999999999991</v>
      </c>
      <c r="BA48" s="94">
        <f t="shared" si="28"/>
        <v>0.19999999999999996</v>
      </c>
    </row>
    <row r="49" spans="1:53" x14ac:dyDescent="0.3">
      <c r="A49" s="48">
        <v>45</v>
      </c>
      <c r="B49" s="16">
        <f t="shared" si="12"/>
        <v>45</v>
      </c>
      <c r="C49" s="177">
        <f t="shared" si="29"/>
        <v>810</v>
      </c>
      <c r="D49" s="49">
        <f t="shared" si="1"/>
        <v>891</v>
      </c>
      <c r="E49" s="2">
        <v>810</v>
      </c>
      <c r="F49" s="49">
        <v>891</v>
      </c>
      <c r="G49" s="49">
        <f t="shared" si="18"/>
        <v>0</v>
      </c>
      <c r="H49" s="94">
        <f t="shared" si="30"/>
        <v>0</v>
      </c>
      <c r="J49" s="48">
        <v>45</v>
      </c>
      <c r="K49" s="16">
        <f t="shared" si="13"/>
        <v>45</v>
      </c>
      <c r="L49" s="177">
        <f t="shared" si="31"/>
        <v>900</v>
      </c>
      <c r="M49" s="49">
        <f t="shared" si="3"/>
        <v>990</v>
      </c>
      <c r="N49" s="49">
        <v>900</v>
      </c>
      <c r="O49" s="49">
        <v>990</v>
      </c>
      <c r="P49" s="49">
        <f t="shared" si="19"/>
        <v>0</v>
      </c>
      <c r="Q49" s="94">
        <f t="shared" si="20"/>
        <v>0</v>
      </c>
      <c r="S49" s="48">
        <v>45</v>
      </c>
      <c r="T49" s="16">
        <f t="shared" si="14"/>
        <v>45</v>
      </c>
      <c r="U49" s="177">
        <f t="shared" si="32"/>
        <v>1125</v>
      </c>
      <c r="V49" s="49">
        <f t="shared" si="5"/>
        <v>1237.5</v>
      </c>
      <c r="W49" s="49">
        <v>1125</v>
      </c>
      <c r="X49" s="49">
        <v>1237.5</v>
      </c>
      <c r="Y49" s="49">
        <f t="shared" si="21"/>
        <v>0</v>
      </c>
      <c r="Z49" s="94">
        <f t="shared" si="22"/>
        <v>0</v>
      </c>
      <c r="AB49" s="48">
        <v>45</v>
      </c>
      <c r="AC49" s="16">
        <f t="shared" si="15"/>
        <v>45</v>
      </c>
      <c r="AD49" s="177">
        <f t="shared" si="33"/>
        <v>1350</v>
      </c>
      <c r="AE49" s="49">
        <f t="shared" si="7"/>
        <v>1485</v>
      </c>
      <c r="AF49" s="49">
        <v>1260</v>
      </c>
      <c r="AG49" s="49">
        <v>1386</v>
      </c>
      <c r="AH49" s="49">
        <f t="shared" si="23"/>
        <v>99</v>
      </c>
      <c r="AI49" s="94">
        <f t="shared" si="24"/>
        <v>7.1428571428571425E-2</v>
      </c>
      <c r="AK49" s="48">
        <v>45</v>
      </c>
      <c r="AL49" s="16">
        <f t="shared" si="16"/>
        <v>45</v>
      </c>
      <c r="AM49" s="177">
        <f t="shared" si="34"/>
        <v>1800</v>
      </c>
      <c r="AN49" s="49">
        <f t="shared" si="9"/>
        <v>1980</v>
      </c>
      <c r="AO49" s="49">
        <v>1350</v>
      </c>
      <c r="AP49" s="49">
        <v>1485</v>
      </c>
      <c r="AQ49" s="49">
        <f t="shared" si="25"/>
        <v>495</v>
      </c>
      <c r="AR49" s="94">
        <f t="shared" si="26"/>
        <v>0.33333333333333331</v>
      </c>
      <c r="AT49" s="48">
        <v>45</v>
      </c>
      <c r="AU49" s="16">
        <f t="shared" si="17"/>
        <v>45</v>
      </c>
      <c r="AV49" s="177">
        <f t="shared" si="35"/>
        <v>2430</v>
      </c>
      <c r="AW49" s="49">
        <f t="shared" si="11"/>
        <v>2673</v>
      </c>
      <c r="AX49" s="2">
        <v>2025</v>
      </c>
      <c r="AY49" s="2">
        <v>2227.5</v>
      </c>
      <c r="AZ49" s="49">
        <f t="shared" si="27"/>
        <v>445.5</v>
      </c>
      <c r="BA49" s="94">
        <f t="shared" si="28"/>
        <v>0.2</v>
      </c>
    </row>
    <row r="50" spans="1:53" x14ac:dyDescent="0.3">
      <c r="A50" s="48">
        <v>46</v>
      </c>
      <c r="B50" s="16">
        <f t="shared" si="12"/>
        <v>46</v>
      </c>
      <c r="C50" s="177">
        <f t="shared" si="29"/>
        <v>828</v>
      </c>
      <c r="D50" s="49">
        <f t="shared" si="1"/>
        <v>910.8</v>
      </c>
      <c r="E50" s="2">
        <v>828</v>
      </c>
      <c r="F50" s="49">
        <v>910.8</v>
      </c>
      <c r="G50" s="49">
        <f t="shared" si="18"/>
        <v>0</v>
      </c>
      <c r="H50" s="94">
        <f t="shared" si="30"/>
        <v>0</v>
      </c>
      <c r="J50" s="48">
        <v>46</v>
      </c>
      <c r="K50" s="16">
        <f t="shared" si="13"/>
        <v>46</v>
      </c>
      <c r="L50" s="177">
        <f t="shared" si="31"/>
        <v>920</v>
      </c>
      <c r="M50" s="49">
        <f t="shared" si="3"/>
        <v>1012</v>
      </c>
      <c r="N50" s="49">
        <v>920</v>
      </c>
      <c r="O50" s="49">
        <v>1012</v>
      </c>
      <c r="P50" s="49">
        <f t="shared" si="19"/>
        <v>0</v>
      </c>
      <c r="Q50" s="94">
        <f t="shared" si="20"/>
        <v>0</v>
      </c>
      <c r="S50" s="48">
        <v>46</v>
      </c>
      <c r="T50" s="16">
        <f t="shared" si="14"/>
        <v>46</v>
      </c>
      <c r="U50" s="177">
        <f t="shared" si="32"/>
        <v>1150</v>
      </c>
      <c r="V50" s="49">
        <f t="shared" si="5"/>
        <v>1265</v>
      </c>
      <c r="W50" s="49">
        <v>1150</v>
      </c>
      <c r="X50" s="49">
        <v>1265</v>
      </c>
      <c r="Y50" s="49">
        <f t="shared" si="21"/>
        <v>0</v>
      </c>
      <c r="Z50" s="94">
        <f t="shared" si="22"/>
        <v>0</v>
      </c>
      <c r="AB50" s="48">
        <v>46</v>
      </c>
      <c r="AC50" s="16">
        <f t="shared" si="15"/>
        <v>46</v>
      </c>
      <c r="AD50" s="177">
        <f t="shared" si="33"/>
        <v>1380</v>
      </c>
      <c r="AE50" s="49">
        <f t="shared" si="7"/>
        <v>1518</v>
      </c>
      <c r="AF50" s="49">
        <v>1288</v>
      </c>
      <c r="AG50" s="49">
        <v>1416.8</v>
      </c>
      <c r="AH50" s="49">
        <f t="shared" si="23"/>
        <v>101.20000000000005</v>
      </c>
      <c r="AI50" s="94">
        <f t="shared" si="24"/>
        <v>7.1428571428571466E-2</v>
      </c>
      <c r="AK50" s="48">
        <v>46</v>
      </c>
      <c r="AL50" s="16">
        <f t="shared" si="16"/>
        <v>46</v>
      </c>
      <c r="AM50" s="177">
        <f t="shared" si="34"/>
        <v>1840</v>
      </c>
      <c r="AN50" s="49">
        <f t="shared" si="9"/>
        <v>2024</v>
      </c>
      <c r="AO50" s="49">
        <v>1380</v>
      </c>
      <c r="AP50" s="49">
        <v>1518</v>
      </c>
      <c r="AQ50" s="49">
        <f t="shared" si="25"/>
        <v>506</v>
      </c>
      <c r="AR50" s="94">
        <f t="shared" si="26"/>
        <v>0.33333333333333331</v>
      </c>
      <c r="AT50" s="48">
        <v>46</v>
      </c>
      <c r="AU50" s="16">
        <f t="shared" si="17"/>
        <v>46</v>
      </c>
      <c r="AV50" s="177">
        <f t="shared" si="35"/>
        <v>2484</v>
      </c>
      <c r="AW50" s="49">
        <f t="shared" si="11"/>
        <v>2732.4</v>
      </c>
      <c r="AX50" s="2">
        <v>2070</v>
      </c>
      <c r="AY50" s="2">
        <v>2277</v>
      </c>
      <c r="AZ50" s="49">
        <f t="shared" si="27"/>
        <v>455.40000000000009</v>
      </c>
      <c r="BA50" s="94">
        <f t="shared" si="28"/>
        <v>0.20000000000000004</v>
      </c>
    </row>
    <row r="51" spans="1:53" x14ac:dyDescent="0.3">
      <c r="A51" s="48">
        <v>47</v>
      </c>
      <c r="B51" s="16">
        <f t="shared" si="12"/>
        <v>47</v>
      </c>
      <c r="C51" s="177">
        <f t="shared" si="29"/>
        <v>846</v>
      </c>
      <c r="D51" s="49">
        <f t="shared" si="1"/>
        <v>930.6</v>
      </c>
      <c r="E51" s="2">
        <v>846</v>
      </c>
      <c r="F51" s="49">
        <v>930.6</v>
      </c>
      <c r="G51" s="49">
        <f t="shared" si="18"/>
        <v>0</v>
      </c>
      <c r="H51" s="94">
        <f t="shared" si="30"/>
        <v>0</v>
      </c>
      <c r="J51" s="48">
        <v>47</v>
      </c>
      <c r="K51" s="16">
        <f t="shared" si="13"/>
        <v>47</v>
      </c>
      <c r="L51" s="177">
        <f t="shared" si="31"/>
        <v>940</v>
      </c>
      <c r="M51" s="49">
        <f t="shared" si="3"/>
        <v>1034</v>
      </c>
      <c r="N51" s="49">
        <v>940</v>
      </c>
      <c r="O51" s="49">
        <v>1034</v>
      </c>
      <c r="P51" s="49">
        <f t="shared" si="19"/>
        <v>0</v>
      </c>
      <c r="Q51" s="94">
        <f t="shared" si="20"/>
        <v>0</v>
      </c>
      <c r="S51" s="48">
        <v>47</v>
      </c>
      <c r="T51" s="16">
        <f t="shared" si="14"/>
        <v>47</v>
      </c>
      <c r="U51" s="177">
        <f t="shared" si="32"/>
        <v>1175</v>
      </c>
      <c r="V51" s="49">
        <f t="shared" si="5"/>
        <v>1292.5</v>
      </c>
      <c r="W51" s="49">
        <v>1175</v>
      </c>
      <c r="X51" s="49">
        <v>1292.5</v>
      </c>
      <c r="Y51" s="49">
        <f t="shared" si="21"/>
        <v>0</v>
      </c>
      <c r="Z51" s="94">
        <f t="shared" si="22"/>
        <v>0</v>
      </c>
      <c r="AB51" s="48">
        <v>47</v>
      </c>
      <c r="AC51" s="16">
        <f t="shared" si="15"/>
        <v>47</v>
      </c>
      <c r="AD51" s="177">
        <f t="shared" si="33"/>
        <v>1410</v>
      </c>
      <c r="AE51" s="49">
        <f t="shared" si="7"/>
        <v>1551</v>
      </c>
      <c r="AF51" s="49">
        <v>1316</v>
      </c>
      <c r="AG51" s="49">
        <v>1447.6</v>
      </c>
      <c r="AH51" s="49">
        <f t="shared" si="23"/>
        <v>103.40000000000009</v>
      </c>
      <c r="AI51" s="94">
        <f t="shared" si="24"/>
        <v>7.1428571428571494E-2</v>
      </c>
      <c r="AK51" s="48">
        <v>47</v>
      </c>
      <c r="AL51" s="16">
        <f t="shared" si="16"/>
        <v>47</v>
      </c>
      <c r="AM51" s="177">
        <f t="shared" si="34"/>
        <v>1880</v>
      </c>
      <c r="AN51" s="49">
        <f t="shared" si="9"/>
        <v>2068</v>
      </c>
      <c r="AO51" s="49">
        <v>1410</v>
      </c>
      <c r="AP51" s="49">
        <v>1551</v>
      </c>
      <c r="AQ51" s="49">
        <f t="shared" si="25"/>
        <v>517</v>
      </c>
      <c r="AR51" s="94">
        <f t="shared" si="26"/>
        <v>0.33333333333333331</v>
      </c>
      <c r="AT51" s="48">
        <v>47</v>
      </c>
      <c r="AU51" s="16">
        <f t="shared" si="17"/>
        <v>47</v>
      </c>
      <c r="AV51" s="177">
        <f t="shared" si="35"/>
        <v>2538</v>
      </c>
      <c r="AW51" s="49">
        <f t="shared" si="11"/>
        <v>2791.8</v>
      </c>
      <c r="AX51" s="2">
        <v>2115</v>
      </c>
      <c r="AY51" s="2">
        <v>2326.5</v>
      </c>
      <c r="AZ51" s="49">
        <f t="shared" si="27"/>
        <v>465.30000000000018</v>
      </c>
      <c r="BA51" s="94">
        <f t="shared" si="28"/>
        <v>0.20000000000000007</v>
      </c>
    </row>
    <row r="52" spans="1:53" x14ac:dyDescent="0.3">
      <c r="A52" s="48">
        <v>48</v>
      </c>
      <c r="B52" s="16">
        <f t="shared" si="12"/>
        <v>48</v>
      </c>
      <c r="C52" s="177">
        <f t="shared" si="29"/>
        <v>864</v>
      </c>
      <c r="D52" s="49">
        <f t="shared" si="1"/>
        <v>950.4</v>
      </c>
      <c r="E52" s="2">
        <v>864</v>
      </c>
      <c r="F52" s="49">
        <v>950.4</v>
      </c>
      <c r="G52" s="49">
        <f t="shared" si="18"/>
        <v>0</v>
      </c>
      <c r="H52" s="94">
        <f t="shared" si="30"/>
        <v>0</v>
      </c>
      <c r="J52" s="48">
        <v>48</v>
      </c>
      <c r="K52" s="16">
        <f t="shared" si="13"/>
        <v>48</v>
      </c>
      <c r="L52" s="177">
        <f t="shared" si="31"/>
        <v>960</v>
      </c>
      <c r="M52" s="49">
        <f t="shared" si="3"/>
        <v>1056</v>
      </c>
      <c r="N52" s="49">
        <v>960</v>
      </c>
      <c r="O52" s="49">
        <v>1056</v>
      </c>
      <c r="P52" s="49">
        <f t="shared" si="19"/>
        <v>0</v>
      </c>
      <c r="Q52" s="94">
        <f t="shared" si="20"/>
        <v>0</v>
      </c>
      <c r="S52" s="48">
        <v>48</v>
      </c>
      <c r="T52" s="16">
        <f t="shared" si="14"/>
        <v>48</v>
      </c>
      <c r="U52" s="177">
        <f t="shared" si="32"/>
        <v>1200</v>
      </c>
      <c r="V52" s="49">
        <f t="shared" si="5"/>
        <v>1320</v>
      </c>
      <c r="W52" s="49">
        <v>1200</v>
      </c>
      <c r="X52" s="49">
        <v>1320</v>
      </c>
      <c r="Y52" s="49">
        <f t="shared" si="21"/>
        <v>0</v>
      </c>
      <c r="Z52" s="94">
        <f t="shared" si="22"/>
        <v>0</v>
      </c>
      <c r="AB52" s="48">
        <v>48</v>
      </c>
      <c r="AC52" s="16">
        <f t="shared" si="15"/>
        <v>48</v>
      </c>
      <c r="AD52" s="177">
        <f t="shared" si="33"/>
        <v>1440</v>
      </c>
      <c r="AE52" s="49">
        <f t="shared" si="7"/>
        <v>1584</v>
      </c>
      <c r="AF52" s="49">
        <v>1344</v>
      </c>
      <c r="AG52" s="49">
        <v>1478.4</v>
      </c>
      <c r="AH52" s="49">
        <f t="shared" si="23"/>
        <v>105.59999999999991</v>
      </c>
      <c r="AI52" s="94">
        <f t="shared" si="24"/>
        <v>7.1428571428571369E-2</v>
      </c>
      <c r="AK52" s="48">
        <v>48</v>
      </c>
      <c r="AL52" s="16">
        <f t="shared" si="16"/>
        <v>48</v>
      </c>
      <c r="AM52" s="177">
        <f t="shared" si="34"/>
        <v>1920</v>
      </c>
      <c r="AN52" s="49">
        <f t="shared" si="9"/>
        <v>2112</v>
      </c>
      <c r="AO52" s="49">
        <v>1440</v>
      </c>
      <c r="AP52" s="49">
        <v>1584</v>
      </c>
      <c r="AQ52" s="49">
        <f t="shared" si="25"/>
        <v>528</v>
      </c>
      <c r="AR52" s="94">
        <f t="shared" si="26"/>
        <v>0.33333333333333331</v>
      </c>
      <c r="AT52" s="48">
        <v>48</v>
      </c>
      <c r="AU52" s="16">
        <f t="shared" si="17"/>
        <v>48</v>
      </c>
      <c r="AV52" s="177">
        <f t="shared" si="35"/>
        <v>2592</v>
      </c>
      <c r="AW52" s="49">
        <f t="shared" si="11"/>
        <v>2851.2</v>
      </c>
      <c r="AX52" s="2">
        <v>2160</v>
      </c>
      <c r="AY52" s="2">
        <v>2376</v>
      </c>
      <c r="AZ52" s="49">
        <f t="shared" si="27"/>
        <v>475.19999999999982</v>
      </c>
      <c r="BA52" s="94">
        <f t="shared" si="28"/>
        <v>0.19999999999999993</v>
      </c>
    </row>
    <row r="53" spans="1:53" x14ac:dyDescent="0.3">
      <c r="A53" s="48">
        <v>49</v>
      </c>
      <c r="B53" s="16">
        <f t="shared" si="12"/>
        <v>49</v>
      </c>
      <c r="C53" s="177">
        <f t="shared" si="29"/>
        <v>882</v>
      </c>
      <c r="D53" s="49">
        <f t="shared" si="1"/>
        <v>970.2</v>
      </c>
      <c r="E53" s="2">
        <v>882</v>
      </c>
      <c r="F53" s="49">
        <v>970.2</v>
      </c>
      <c r="G53" s="49">
        <f t="shared" si="18"/>
        <v>0</v>
      </c>
      <c r="H53" s="94">
        <f t="shared" si="30"/>
        <v>0</v>
      </c>
      <c r="J53" s="48">
        <v>49</v>
      </c>
      <c r="K53" s="16">
        <f t="shared" si="13"/>
        <v>49</v>
      </c>
      <c r="L53" s="177">
        <f t="shared" si="31"/>
        <v>980</v>
      </c>
      <c r="M53" s="49">
        <f t="shared" si="3"/>
        <v>1078</v>
      </c>
      <c r="N53" s="49">
        <v>980</v>
      </c>
      <c r="O53" s="49">
        <v>1078</v>
      </c>
      <c r="P53" s="49">
        <f t="shared" si="19"/>
        <v>0</v>
      </c>
      <c r="Q53" s="94">
        <f t="shared" si="20"/>
        <v>0</v>
      </c>
      <c r="S53" s="48">
        <v>49</v>
      </c>
      <c r="T53" s="16">
        <f t="shared" si="14"/>
        <v>49</v>
      </c>
      <c r="U53" s="177">
        <f t="shared" si="32"/>
        <v>1225</v>
      </c>
      <c r="V53" s="49">
        <f t="shared" si="5"/>
        <v>1347.5</v>
      </c>
      <c r="W53" s="49">
        <v>1225</v>
      </c>
      <c r="X53" s="49">
        <v>1347.5</v>
      </c>
      <c r="Y53" s="49">
        <f t="shared" si="21"/>
        <v>0</v>
      </c>
      <c r="Z53" s="94">
        <f t="shared" si="22"/>
        <v>0</v>
      </c>
      <c r="AB53" s="48">
        <v>49</v>
      </c>
      <c r="AC53" s="16">
        <f t="shared" si="15"/>
        <v>49</v>
      </c>
      <c r="AD53" s="177">
        <f t="shared" si="33"/>
        <v>1470</v>
      </c>
      <c r="AE53" s="49">
        <f t="shared" si="7"/>
        <v>1617</v>
      </c>
      <c r="AF53" s="49">
        <v>1372</v>
      </c>
      <c r="AG53" s="49">
        <v>1509.2</v>
      </c>
      <c r="AH53" s="49">
        <f t="shared" si="23"/>
        <v>107.79999999999995</v>
      </c>
      <c r="AI53" s="94">
        <f t="shared" si="24"/>
        <v>7.1428571428571397E-2</v>
      </c>
      <c r="AK53" s="48">
        <v>49</v>
      </c>
      <c r="AL53" s="16">
        <f t="shared" si="16"/>
        <v>49</v>
      </c>
      <c r="AM53" s="177">
        <f t="shared" si="34"/>
        <v>1960</v>
      </c>
      <c r="AN53" s="49">
        <f t="shared" si="9"/>
        <v>2156</v>
      </c>
      <c r="AO53" s="49">
        <v>1470</v>
      </c>
      <c r="AP53" s="49">
        <v>1617</v>
      </c>
      <c r="AQ53" s="49">
        <f t="shared" si="25"/>
        <v>539</v>
      </c>
      <c r="AR53" s="94">
        <f t="shared" si="26"/>
        <v>0.33333333333333331</v>
      </c>
      <c r="AT53" s="48">
        <v>49</v>
      </c>
      <c r="AU53" s="16">
        <f t="shared" si="17"/>
        <v>49</v>
      </c>
      <c r="AV53" s="177">
        <f t="shared" si="35"/>
        <v>2646</v>
      </c>
      <c r="AW53" s="49">
        <f t="shared" si="11"/>
        <v>2910.6</v>
      </c>
      <c r="AX53" s="2">
        <v>2205</v>
      </c>
      <c r="AY53" s="2">
        <v>2425.5</v>
      </c>
      <c r="AZ53" s="49">
        <f t="shared" si="27"/>
        <v>485.09999999999991</v>
      </c>
      <c r="BA53" s="94">
        <f t="shared" si="28"/>
        <v>0.19999999999999996</v>
      </c>
    </row>
    <row r="54" spans="1:53" ht="15" thickBot="1" x14ac:dyDescent="0.35">
      <c r="A54" s="201">
        <v>50</v>
      </c>
      <c r="B54" s="144">
        <f t="shared" si="12"/>
        <v>50</v>
      </c>
      <c r="C54" s="189">
        <f t="shared" si="29"/>
        <v>900</v>
      </c>
      <c r="D54" s="91">
        <f t="shared" si="1"/>
        <v>990</v>
      </c>
      <c r="E54" s="6">
        <v>900</v>
      </c>
      <c r="F54" s="91">
        <v>990</v>
      </c>
      <c r="G54" s="91">
        <f t="shared" si="18"/>
        <v>0</v>
      </c>
      <c r="H54" s="124">
        <f t="shared" si="30"/>
        <v>0</v>
      </c>
      <c r="J54" s="201">
        <v>50</v>
      </c>
      <c r="K54" s="144">
        <f t="shared" si="13"/>
        <v>50</v>
      </c>
      <c r="L54" s="189">
        <f t="shared" si="31"/>
        <v>1000</v>
      </c>
      <c r="M54" s="91">
        <f t="shared" si="3"/>
        <v>1100</v>
      </c>
      <c r="N54" s="91">
        <v>1000</v>
      </c>
      <c r="O54" s="91">
        <v>1100</v>
      </c>
      <c r="P54" s="91">
        <f t="shared" si="19"/>
        <v>0</v>
      </c>
      <c r="Q54" s="124">
        <f t="shared" si="20"/>
        <v>0</v>
      </c>
      <c r="S54" s="201">
        <v>50</v>
      </c>
      <c r="T54" s="144">
        <f t="shared" si="14"/>
        <v>50</v>
      </c>
      <c r="U54" s="189">
        <f t="shared" si="32"/>
        <v>1250</v>
      </c>
      <c r="V54" s="91">
        <f t="shared" si="5"/>
        <v>1375</v>
      </c>
      <c r="W54" s="91">
        <v>1250</v>
      </c>
      <c r="X54" s="91">
        <v>1375</v>
      </c>
      <c r="Y54" s="91">
        <f t="shared" si="21"/>
        <v>0</v>
      </c>
      <c r="Z54" s="124">
        <f t="shared" si="22"/>
        <v>0</v>
      </c>
      <c r="AB54" s="201">
        <v>50</v>
      </c>
      <c r="AC54" s="144">
        <f t="shared" si="15"/>
        <v>50</v>
      </c>
      <c r="AD54" s="189">
        <f t="shared" si="33"/>
        <v>1500</v>
      </c>
      <c r="AE54" s="91">
        <f t="shared" si="7"/>
        <v>1650</v>
      </c>
      <c r="AF54" s="91">
        <v>1400</v>
      </c>
      <c r="AG54" s="91">
        <v>1540</v>
      </c>
      <c r="AH54" s="91">
        <f t="shared" si="23"/>
        <v>110</v>
      </c>
      <c r="AI54" s="124">
        <f t="shared" si="24"/>
        <v>7.1428571428571425E-2</v>
      </c>
      <c r="AK54" s="201">
        <v>50</v>
      </c>
      <c r="AL54" s="144">
        <f t="shared" si="16"/>
        <v>50</v>
      </c>
      <c r="AM54" s="189">
        <f t="shared" si="34"/>
        <v>2000</v>
      </c>
      <c r="AN54" s="91">
        <f t="shared" si="9"/>
        <v>2200</v>
      </c>
      <c r="AO54" s="91">
        <v>1500</v>
      </c>
      <c r="AP54" s="91">
        <v>1650</v>
      </c>
      <c r="AQ54" s="91">
        <f t="shared" si="25"/>
        <v>550</v>
      </c>
      <c r="AR54" s="124">
        <f t="shared" si="26"/>
        <v>0.33333333333333331</v>
      </c>
      <c r="AT54" s="201">
        <v>50</v>
      </c>
      <c r="AU54" s="144">
        <f t="shared" si="17"/>
        <v>50</v>
      </c>
      <c r="AV54" s="189">
        <f t="shared" si="35"/>
        <v>2700</v>
      </c>
      <c r="AW54" s="91">
        <f t="shared" si="11"/>
        <v>2970</v>
      </c>
      <c r="AX54" s="6">
        <v>2250</v>
      </c>
      <c r="AY54" s="6">
        <v>2475</v>
      </c>
      <c r="AZ54" s="91">
        <f t="shared" si="27"/>
        <v>495</v>
      </c>
      <c r="BA54" s="124">
        <f t="shared" si="28"/>
        <v>0.2</v>
      </c>
    </row>
    <row r="55" spans="1:53" ht="15" thickBot="1" x14ac:dyDescent="0.35">
      <c r="A55" s="235" t="s">
        <v>51</v>
      </c>
      <c r="B55" s="226"/>
      <c r="C55" s="226"/>
      <c r="D55" s="226"/>
      <c r="E55" s="226"/>
      <c r="F55" s="226"/>
      <c r="G55" s="226"/>
      <c r="H55" s="202">
        <f>AVERAGE(H7:H54)</f>
        <v>0</v>
      </c>
      <c r="J55" s="235" t="s">
        <v>51</v>
      </c>
      <c r="K55" s="226"/>
      <c r="L55" s="226"/>
      <c r="M55" s="226"/>
      <c r="N55" s="226"/>
      <c r="O55" s="226"/>
      <c r="P55" s="226"/>
      <c r="Q55" s="202">
        <f>AVERAGE(Q7:Q54)</f>
        <v>0</v>
      </c>
      <c r="S55" s="235" t="s">
        <v>51</v>
      </c>
      <c r="T55" s="226"/>
      <c r="U55" s="226"/>
      <c r="V55" s="226"/>
      <c r="W55" s="226"/>
      <c r="X55" s="226"/>
      <c r="Y55" s="226"/>
      <c r="Z55" s="202">
        <f>AVERAGE(Z7:Z54)</f>
        <v>0</v>
      </c>
      <c r="AB55" s="235" t="s">
        <v>51</v>
      </c>
      <c r="AC55" s="226"/>
      <c r="AD55" s="226"/>
      <c r="AE55" s="226"/>
      <c r="AF55" s="226"/>
      <c r="AG55" s="226"/>
      <c r="AH55" s="226"/>
      <c r="AI55" s="202">
        <f>AVERAGE(AI7:AI54)</f>
        <v>7.1428571428571438E-2</v>
      </c>
      <c r="AK55" s="235" t="s">
        <v>51</v>
      </c>
      <c r="AL55" s="226"/>
      <c r="AM55" s="226"/>
      <c r="AN55" s="226"/>
      <c r="AO55" s="226"/>
      <c r="AP55" s="226"/>
      <c r="AQ55" s="226"/>
      <c r="AR55" s="202">
        <f>AVERAGE(AR7:AR54)</f>
        <v>0.33333333333333354</v>
      </c>
      <c r="AT55" s="235" t="s">
        <v>51</v>
      </c>
      <c r="AU55" s="226"/>
      <c r="AV55" s="226"/>
      <c r="AW55" s="226"/>
      <c r="AX55" s="226"/>
      <c r="AY55" s="226"/>
      <c r="AZ55" s="226"/>
      <c r="BA55" s="202">
        <f>AVERAGE(BA7:BA54)</f>
        <v>0.19999999999999996</v>
      </c>
    </row>
    <row r="56" spans="1:53" ht="15" thickBot="1" x14ac:dyDescent="0.35"/>
    <row r="57" spans="1:53" ht="15" thickBot="1" x14ac:dyDescent="0.35">
      <c r="A57" s="220" t="s">
        <v>1</v>
      </c>
      <c r="B57" s="221"/>
      <c r="C57" s="221"/>
      <c r="D57" s="221"/>
      <c r="E57" s="221"/>
      <c r="F57" s="221"/>
      <c r="G57" s="221"/>
      <c r="H57" s="222"/>
      <c r="J57" s="220" t="s">
        <v>2</v>
      </c>
      <c r="K57" s="221"/>
      <c r="L57" s="221"/>
      <c r="M57" s="221"/>
      <c r="N57" s="221"/>
      <c r="O57" s="221"/>
      <c r="P57" s="221"/>
      <c r="Q57" s="222"/>
      <c r="S57" s="220" t="s">
        <v>3</v>
      </c>
      <c r="T57" s="221"/>
      <c r="U57" s="221"/>
      <c r="V57" s="221"/>
      <c r="W57" s="221"/>
      <c r="X57" s="221"/>
      <c r="Y57" s="221"/>
      <c r="Z57" s="221"/>
      <c r="AB57" s="220" t="s">
        <v>8</v>
      </c>
      <c r="AC57" s="221"/>
      <c r="AD57" s="221"/>
      <c r="AE57" s="221"/>
      <c r="AF57" s="221"/>
      <c r="AG57" s="221"/>
      <c r="AH57" s="221"/>
      <c r="AI57" s="222"/>
      <c r="AK57" s="220" t="s">
        <v>4</v>
      </c>
      <c r="AL57" s="221"/>
      <c r="AM57" s="221"/>
      <c r="AN57" s="221"/>
      <c r="AO57" s="221"/>
      <c r="AP57" s="221"/>
      <c r="AQ57" s="221"/>
      <c r="AR57" s="222"/>
      <c r="AT57" s="220" t="s">
        <v>7</v>
      </c>
      <c r="AU57" s="221"/>
      <c r="AV57" s="221"/>
      <c r="AW57" s="221"/>
      <c r="AX57" s="221"/>
      <c r="AY57" s="221"/>
      <c r="AZ57" s="221"/>
      <c r="BA57" s="222"/>
    </row>
    <row r="58" spans="1:53" ht="15" thickBot="1" x14ac:dyDescent="0.35">
      <c r="A58" s="220" t="s">
        <v>52</v>
      </c>
      <c r="B58" s="221"/>
      <c r="C58" s="221"/>
      <c r="D58" s="221"/>
      <c r="E58" s="221"/>
      <c r="F58" s="221"/>
      <c r="G58" s="221"/>
      <c r="H58" s="222"/>
      <c r="J58" s="220" t="s">
        <v>52</v>
      </c>
      <c r="K58" s="221"/>
      <c r="L58" s="221"/>
      <c r="M58" s="221"/>
      <c r="N58" s="221"/>
      <c r="O58" s="221"/>
      <c r="P58" s="221"/>
      <c r="Q58" s="222"/>
      <c r="S58" s="220" t="s">
        <v>52</v>
      </c>
      <c r="T58" s="221"/>
      <c r="U58" s="221"/>
      <c r="V58" s="221"/>
      <c r="W58" s="221"/>
      <c r="X58" s="221"/>
      <c r="Y58" s="221"/>
      <c r="Z58" s="221"/>
      <c r="AB58" s="220" t="s">
        <v>49</v>
      </c>
      <c r="AC58" s="221"/>
      <c r="AD58" s="221"/>
      <c r="AE58" s="221"/>
      <c r="AF58" s="221"/>
      <c r="AG58" s="221"/>
      <c r="AH58" s="221"/>
      <c r="AI58" s="222"/>
      <c r="AK58" s="220" t="s">
        <v>52</v>
      </c>
      <c r="AL58" s="221"/>
      <c r="AM58" s="221"/>
      <c r="AN58" s="221"/>
      <c r="AO58" s="221"/>
      <c r="AP58" s="221"/>
      <c r="AQ58" s="221"/>
      <c r="AR58" s="222"/>
      <c r="AT58" s="220" t="s">
        <v>52</v>
      </c>
      <c r="AU58" s="221"/>
      <c r="AV58" s="221"/>
      <c r="AW58" s="221"/>
      <c r="AX58" s="221"/>
      <c r="AY58" s="221"/>
      <c r="AZ58" s="221"/>
      <c r="BA58" s="222"/>
    </row>
    <row r="59" spans="1:53" ht="43.8" thickBot="1" x14ac:dyDescent="0.35">
      <c r="A59" s="199" t="s">
        <v>0</v>
      </c>
      <c r="B59" s="125" t="s">
        <v>22</v>
      </c>
      <c r="C59" s="126" t="s">
        <v>64</v>
      </c>
      <c r="D59" s="127" t="s">
        <v>50</v>
      </c>
      <c r="E59" s="126" t="s">
        <v>65</v>
      </c>
      <c r="F59" s="126" t="s">
        <v>18</v>
      </c>
      <c r="G59" s="125" t="s">
        <v>46</v>
      </c>
      <c r="H59" s="125" t="s">
        <v>47</v>
      </c>
      <c r="J59" s="199" t="s">
        <v>0</v>
      </c>
      <c r="K59" s="125" t="s">
        <v>22</v>
      </c>
      <c r="L59" s="126" t="s">
        <v>64</v>
      </c>
      <c r="M59" s="127" t="s">
        <v>50</v>
      </c>
      <c r="N59" s="126" t="s">
        <v>65</v>
      </c>
      <c r="O59" s="126" t="s">
        <v>18</v>
      </c>
      <c r="P59" s="125" t="s">
        <v>46</v>
      </c>
      <c r="Q59" s="125" t="s">
        <v>47</v>
      </c>
      <c r="S59" s="199" t="s">
        <v>0</v>
      </c>
      <c r="T59" s="125" t="s">
        <v>22</v>
      </c>
      <c r="U59" s="126" t="s">
        <v>64</v>
      </c>
      <c r="V59" s="127" t="s">
        <v>50</v>
      </c>
      <c r="W59" s="126" t="s">
        <v>65</v>
      </c>
      <c r="X59" s="126" t="s">
        <v>18</v>
      </c>
      <c r="Y59" s="125" t="s">
        <v>46</v>
      </c>
      <c r="Z59" s="205" t="s">
        <v>47</v>
      </c>
      <c r="AB59" s="199" t="s">
        <v>0</v>
      </c>
      <c r="AC59" s="125" t="s">
        <v>22</v>
      </c>
      <c r="AD59" s="126" t="s">
        <v>64</v>
      </c>
      <c r="AE59" s="127" t="s">
        <v>50</v>
      </c>
      <c r="AF59" s="126" t="s">
        <v>65</v>
      </c>
      <c r="AG59" s="126" t="s">
        <v>18</v>
      </c>
      <c r="AH59" s="125" t="s">
        <v>46</v>
      </c>
      <c r="AI59" s="125" t="s">
        <v>47</v>
      </c>
      <c r="AK59" s="199" t="s">
        <v>0</v>
      </c>
      <c r="AL59" s="125" t="s">
        <v>22</v>
      </c>
      <c r="AM59" s="126" t="s">
        <v>64</v>
      </c>
      <c r="AN59" s="127" t="s">
        <v>50</v>
      </c>
      <c r="AO59" s="126" t="s">
        <v>65</v>
      </c>
      <c r="AP59" s="126" t="s">
        <v>18</v>
      </c>
      <c r="AQ59" s="125" t="s">
        <v>46</v>
      </c>
      <c r="AR59" s="125" t="s">
        <v>47</v>
      </c>
      <c r="AT59" s="199" t="s">
        <v>0</v>
      </c>
      <c r="AU59" s="125" t="s">
        <v>22</v>
      </c>
      <c r="AV59" s="126" t="s">
        <v>64</v>
      </c>
      <c r="AW59" s="127" t="s">
        <v>50</v>
      </c>
      <c r="AX59" s="126" t="s">
        <v>65</v>
      </c>
      <c r="AY59" s="126" t="s">
        <v>18</v>
      </c>
      <c r="AZ59" s="125" t="s">
        <v>46</v>
      </c>
      <c r="BA59" s="125" t="s">
        <v>47</v>
      </c>
    </row>
    <row r="60" spans="1:53" x14ac:dyDescent="0.3">
      <c r="A60" s="203" cm="1">
        <f t="array" ref="A60:A63">_xlfn.SEQUENCE(4)</f>
        <v>1</v>
      </c>
      <c r="B60" s="102">
        <v>0.1</v>
      </c>
      <c r="C60" s="61">
        <v>15</v>
      </c>
      <c r="D60" s="80">
        <f>C60 +10%*C60</f>
        <v>16.5</v>
      </c>
      <c r="E60" s="59">
        <v>12.5</v>
      </c>
      <c r="F60" s="79">
        <f>E60+10%*E60</f>
        <v>13.75</v>
      </c>
      <c r="G60" s="61">
        <f>D60-F60</f>
        <v>2.75</v>
      </c>
      <c r="H60" s="76">
        <f t="shared" ref="H60:H63" si="36">G60/F60</f>
        <v>0.2</v>
      </c>
      <c r="J60" s="203" cm="1">
        <f t="array" ref="J60:J63">_xlfn.SEQUENCE(4)</f>
        <v>1</v>
      </c>
      <c r="K60" s="102">
        <v>0.1</v>
      </c>
      <c r="L60" s="59">
        <v>16</v>
      </c>
      <c r="M60" s="80">
        <f>L60 +10%*L60</f>
        <v>17.600000000000001</v>
      </c>
      <c r="N60" s="59">
        <v>13.5</v>
      </c>
      <c r="O60" s="79">
        <f>N60+10%*N60</f>
        <v>14.85</v>
      </c>
      <c r="P60" s="61">
        <f>M60-O60</f>
        <v>2.7500000000000018</v>
      </c>
      <c r="Q60" s="76">
        <f t="shared" ref="Q60:Q63" si="37">P60/O60</f>
        <v>0.18518518518518531</v>
      </c>
      <c r="S60" s="203" cm="1">
        <f t="array" ref="S60:S63">_xlfn.SEQUENCE(4)</f>
        <v>1</v>
      </c>
      <c r="T60" s="102">
        <v>0.1</v>
      </c>
      <c r="U60" s="59">
        <v>20.5</v>
      </c>
      <c r="V60" s="80">
        <f>U60 +10%*U60</f>
        <v>22.55</v>
      </c>
      <c r="W60" s="59">
        <v>16.5</v>
      </c>
      <c r="X60" s="61">
        <f>W60+10%*W60</f>
        <v>18.149999999999999</v>
      </c>
      <c r="Y60" s="61">
        <f>V60-X60</f>
        <v>4.4000000000000021</v>
      </c>
      <c r="Z60" s="76">
        <f t="shared" ref="Z60:Z63" si="38">Y60/X60</f>
        <v>0.24242424242424257</v>
      </c>
      <c r="AB60" s="203" cm="1">
        <f t="array" ref="AB60:AB63">_xlfn.SEQUENCE(4)</f>
        <v>1</v>
      </c>
      <c r="AC60" s="102">
        <v>0.1</v>
      </c>
      <c r="AD60" s="59">
        <v>33.5</v>
      </c>
      <c r="AE60" s="85">
        <f>AD60 +10%*AD60</f>
        <v>36.85</v>
      </c>
      <c r="AF60" s="59">
        <v>26.5</v>
      </c>
      <c r="AG60" s="88">
        <f>AF60+10%*AF60</f>
        <v>29.15</v>
      </c>
      <c r="AH60" s="61">
        <f>AE60-AG60</f>
        <v>7.7000000000000028</v>
      </c>
      <c r="AI60" s="76">
        <f t="shared" ref="AI60:AI63" si="39">AH60/AG60</f>
        <v>0.26415094339622652</v>
      </c>
      <c r="AK60" s="203" cm="1">
        <f t="array" ref="AK60:AK63">_xlfn.SEQUENCE(4)</f>
        <v>1</v>
      </c>
      <c r="AL60" s="102">
        <v>0.1</v>
      </c>
      <c r="AM60" s="59">
        <v>36.5</v>
      </c>
      <c r="AN60" s="80">
        <f>AM60 +10%*AM60</f>
        <v>40.15</v>
      </c>
      <c r="AO60" s="59">
        <v>29</v>
      </c>
      <c r="AP60" s="61">
        <f>AO60+10%*AO60</f>
        <v>31.9</v>
      </c>
      <c r="AQ60" s="61">
        <f>AN60-AP60</f>
        <v>8.25</v>
      </c>
      <c r="AR60" s="76">
        <f t="shared" ref="AR60:AR63" si="40">AQ60/AP60</f>
        <v>0.25862068965517243</v>
      </c>
      <c r="AT60" s="203" cm="1">
        <f t="array" ref="AT60:AT63">_xlfn.SEQUENCE(4)</f>
        <v>1</v>
      </c>
      <c r="AU60" s="102">
        <v>0.1</v>
      </c>
      <c r="AV60" s="59">
        <v>43</v>
      </c>
      <c r="AW60" s="80">
        <f>AV60 +10%*AV60</f>
        <v>47.3</v>
      </c>
      <c r="AX60" s="59">
        <v>36.5</v>
      </c>
      <c r="AY60" s="61">
        <f>AX60+AX60*10%</f>
        <v>40.15</v>
      </c>
      <c r="AZ60" s="61">
        <f>AW60-AY60</f>
        <v>7.1499999999999986</v>
      </c>
      <c r="BA60" s="76">
        <f t="shared" ref="BA60:BA63" si="41">AZ60/AY60</f>
        <v>0.17808219178082188</v>
      </c>
    </row>
    <row r="61" spans="1:53" x14ac:dyDescent="0.3">
      <c r="A61" s="204">
        <v>2</v>
      </c>
      <c r="B61" s="103">
        <v>0.25</v>
      </c>
      <c r="C61" s="49">
        <v>15.5</v>
      </c>
      <c r="D61" s="78">
        <f t="shared" ref="D61:D63" si="42">C61 +10%*C61</f>
        <v>17.05</v>
      </c>
      <c r="E61" s="53">
        <v>13</v>
      </c>
      <c r="F61" s="77">
        <f t="shared" ref="F61:F63" si="43">E61+10%*E61</f>
        <v>14.3</v>
      </c>
      <c r="G61" s="49">
        <f t="shared" ref="G61:G63" si="44">D61-F61</f>
        <v>2.75</v>
      </c>
      <c r="H61" s="94">
        <f t="shared" si="36"/>
        <v>0.19230769230769229</v>
      </c>
      <c r="J61" s="204">
        <v>2</v>
      </c>
      <c r="K61" s="103">
        <v>0.25</v>
      </c>
      <c r="L61" s="53">
        <v>16.5</v>
      </c>
      <c r="M61" s="78">
        <f t="shared" ref="M61:M63" si="45">L61 +10%*L61</f>
        <v>18.149999999999999</v>
      </c>
      <c r="N61" s="53">
        <v>14</v>
      </c>
      <c r="O61" s="77">
        <f t="shared" ref="O61:O63" si="46">N61+10%*N61</f>
        <v>15.4</v>
      </c>
      <c r="P61" s="49">
        <f t="shared" ref="P61:P63" si="47">M61-O61</f>
        <v>2.7499999999999982</v>
      </c>
      <c r="Q61" s="94">
        <f t="shared" si="37"/>
        <v>0.17857142857142846</v>
      </c>
      <c r="S61" s="204">
        <v>2</v>
      </c>
      <c r="T61" s="103">
        <v>0.25</v>
      </c>
      <c r="U61" s="53">
        <v>22</v>
      </c>
      <c r="V61" s="78">
        <f t="shared" ref="V61:V63" si="48">U61 +10%*U61</f>
        <v>24.2</v>
      </c>
      <c r="W61" s="53">
        <v>18</v>
      </c>
      <c r="X61" s="49">
        <f t="shared" ref="X61:X63" si="49">W61+10%*W61</f>
        <v>19.8</v>
      </c>
      <c r="Y61" s="49">
        <f t="shared" ref="Y61:Y63" si="50">V61-X61</f>
        <v>4.3999999999999986</v>
      </c>
      <c r="Z61" s="94">
        <f t="shared" si="38"/>
        <v>0.22222222222222215</v>
      </c>
      <c r="AB61" s="204">
        <v>2</v>
      </c>
      <c r="AC61" s="103">
        <v>0.25</v>
      </c>
      <c r="AD61" s="53">
        <v>35.5</v>
      </c>
      <c r="AE61" s="86">
        <f t="shared" ref="AE61:AE63" si="51">AD61 +10%*AD61</f>
        <v>39.049999999999997</v>
      </c>
      <c r="AF61" s="53">
        <v>28.5</v>
      </c>
      <c r="AG61" s="89">
        <f t="shared" ref="AG61:AG63" si="52">AF61+10%*AF61</f>
        <v>31.35</v>
      </c>
      <c r="AH61" s="49">
        <f t="shared" ref="AH61:AH63" si="53">AE61-AG61</f>
        <v>7.6999999999999957</v>
      </c>
      <c r="AI61" s="94">
        <f t="shared" si="39"/>
        <v>0.24561403508771915</v>
      </c>
      <c r="AK61" s="204">
        <v>2</v>
      </c>
      <c r="AL61" s="103">
        <v>0.25</v>
      </c>
      <c r="AM61" s="53">
        <v>39.5</v>
      </c>
      <c r="AN61" s="78">
        <f t="shared" ref="AN61:AN63" si="54">AM61 +10%*AM61</f>
        <v>43.45</v>
      </c>
      <c r="AO61" s="53">
        <v>31.5</v>
      </c>
      <c r="AP61" s="49">
        <f t="shared" ref="AP61:AP63" si="55">AO61+10%*AO61</f>
        <v>34.65</v>
      </c>
      <c r="AQ61" s="49">
        <f t="shared" ref="AQ61:AQ63" si="56">AN61-AP61</f>
        <v>8.8000000000000043</v>
      </c>
      <c r="AR61" s="94">
        <f t="shared" si="40"/>
        <v>0.25396825396825412</v>
      </c>
      <c r="AT61" s="204">
        <v>2</v>
      </c>
      <c r="AU61" s="103">
        <v>0.25</v>
      </c>
      <c r="AV61" s="53">
        <v>45.5</v>
      </c>
      <c r="AW61" s="78">
        <f t="shared" ref="AW61:AW63" si="57">AV61 +10%*AV61</f>
        <v>50.05</v>
      </c>
      <c r="AX61" s="53">
        <v>38.5</v>
      </c>
      <c r="AY61" s="49">
        <f t="shared" ref="AY61:AY63" si="58">AX61+AX61*10%</f>
        <v>42.35</v>
      </c>
      <c r="AZ61" s="49">
        <f t="shared" ref="AZ61:AZ63" si="59">AW61-AY61</f>
        <v>7.6999999999999957</v>
      </c>
      <c r="BA61" s="94">
        <f t="shared" si="41"/>
        <v>0.18181818181818171</v>
      </c>
    </row>
    <row r="62" spans="1:53" x14ac:dyDescent="0.3">
      <c r="A62" s="204">
        <v>3</v>
      </c>
      <c r="B62" s="103">
        <v>0.5</v>
      </c>
      <c r="C62" s="49">
        <v>16</v>
      </c>
      <c r="D62" s="78">
        <f t="shared" si="42"/>
        <v>17.600000000000001</v>
      </c>
      <c r="E62" s="53">
        <v>13.5</v>
      </c>
      <c r="F62" s="77">
        <f t="shared" si="43"/>
        <v>14.85</v>
      </c>
      <c r="G62" s="49">
        <f t="shared" si="44"/>
        <v>2.7500000000000018</v>
      </c>
      <c r="H62" s="94">
        <f t="shared" si="36"/>
        <v>0.18518518518518531</v>
      </c>
      <c r="J62" s="204">
        <v>3</v>
      </c>
      <c r="K62" s="103">
        <v>0.5</v>
      </c>
      <c r="L62" s="53">
        <v>17</v>
      </c>
      <c r="M62" s="78">
        <f t="shared" si="45"/>
        <v>18.7</v>
      </c>
      <c r="N62" s="53">
        <v>14.5</v>
      </c>
      <c r="O62" s="77">
        <f t="shared" si="46"/>
        <v>15.95</v>
      </c>
      <c r="P62" s="49">
        <f t="shared" si="47"/>
        <v>2.75</v>
      </c>
      <c r="Q62" s="94">
        <f t="shared" si="37"/>
        <v>0.17241379310344829</v>
      </c>
      <c r="S62" s="204">
        <v>3</v>
      </c>
      <c r="T62" s="103">
        <v>0.5</v>
      </c>
      <c r="U62" s="53">
        <v>23</v>
      </c>
      <c r="V62" s="78">
        <f t="shared" si="48"/>
        <v>25.3</v>
      </c>
      <c r="W62" s="53">
        <v>19</v>
      </c>
      <c r="X62" s="49">
        <f t="shared" si="49"/>
        <v>20.9</v>
      </c>
      <c r="Y62" s="49">
        <f t="shared" si="50"/>
        <v>4.4000000000000021</v>
      </c>
      <c r="Z62" s="94">
        <f t="shared" si="38"/>
        <v>0.21052631578947381</v>
      </c>
      <c r="AB62" s="204">
        <v>3</v>
      </c>
      <c r="AC62" s="103">
        <v>0.5</v>
      </c>
      <c r="AD62" s="53">
        <v>45</v>
      </c>
      <c r="AE62" s="86">
        <f t="shared" si="51"/>
        <v>49.5</v>
      </c>
      <c r="AF62" s="53">
        <v>41.5</v>
      </c>
      <c r="AG62" s="89">
        <f t="shared" si="52"/>
        <v>45.65</v>
      </c>
      <c r="AH62" s="49">
        <f t="shared" si="53"/>
        <v>3.8500000000000014</v>
      </c>
      <c r="AI62" s="94">
        <f t="shared" si="39"/>
        <v>8.4337349397590397E-2</v>
      </c>
      <c r="AK62" s="204">
        <v>3</v>
      </c>
      <c r="AL62" s="103">
        <v>0.5</v>
      </c>
      <c r="AM62" s="53">
        <v>50</v>
      </c>
      <c r="AN62" s="78">
        <f t="shared" si="54"/>
        <v>55</v>
      </c>
      <c r="AO62" s="53">
        <v>44.5</v>
      </c>
      <c r="AP62" s="49">
        <f t="shared" si="55"/>
        <v>48.95</v>
      </c>
      <c r="AQ62" s="49">
        <f t="shared" si="56"/>
        <v>6.0499999999999972</v>
      </c>
      <c r="AR62" s="94">
        <f t="shared" si="40"/>
        <v>0.12359550561797747</v>
      </c>
      <c r="AT62" s="204">
        <v>3</v>
      </c>
      <c r="AU62" s="103">
        <v>0.5</v>
      </c>
      <c r="AV62" s="53">
        <v>65</v>
      </c>
      <c r="AW62" s="78">
        <f t="shared" si="57"/>
        <v>71.5</v>
      </c>
      <c r="AX62" s="53">
        <v>63</v>
      </c>
      <c r="AY62" s="49">
        <f t="shared" si="58"/>
        <v>69.3</v>
      </c>
      <c r="AZ62" s="49">
        <f t="shared" si="59"/>
        <v>2.2000000000000028</v>
      </c>
      <c r="BA62" s="94">
        <f t="shared" si="41"/>
        <v>3.1746031746031786E-2</v>
      </c>
    </row>
    <row r="63" spans="1:53" ht="15" thickBot="1" x14ac:dyDescent="0.35">
      <c r="A63" s="63">
        <v>4</v>
      </c>
      <c r="B63" s="104">
        <v>1</v>
      </c>
      <c r="C63" s="91">
        <f>C62+9.5</f>
        <v>25.5</v>
      </c>
      <c r="D63" s="83">
        <f t="shared" si="42"/>
        <v>28.05</v>
      </c>
      <c r="E63" s="38">
        <f>E62 + 7.5</f>
        <v>21</v>
      </c>
      <c r="F63" s="82">
        <f t="shared" si="43"/>
        <v>23.1</v>
      </c>
      <c r="G63" s="91">
        <f t="shared" si="44"/>
        <v>4.9499999999999993</v>
      </c>
      <c r="H63" s="124">
        <f t="shared" si="36"/>
        <v>0.21428571428571425</v>
      </c>
      <c r="J63" s="63">
        <v>4</v>
      </c>
      <c r="K63" s="104">
        <v>1</v>
      </c>
      <c r="L63" s="38">
        <f>L62 + 10.5</f>
        <v>27.5</v>
      </c>
      <c r="M63" s="83">
        <f t="shared" si="45"/>
        <v>30.25</v>
      </c>
      <c r="N63" s="38">
        <f>N62+8.5</f>
        <v>23</v>
      </c>
      <c r="O63" s="82">
        <f t="shared" si="46"/>
        <v>25.3</v>
      </c>
      <c r="P63" s="91">
        <f t="shared" si="47"/>
        <v>4.9499999999999993</v>
      </c>
      <c r="Q63" s="124">
        <f t="shared" si="37"/>
        <v>0.19565217391304343</v>
      </c>
      <c r="S63" s="63">
        <v>4</v>
      </c>
      <c r="T63" s="104">
        <v>1</v>
      </c>
      <c r="U63" s="38">
        <f>U62 +17</f>
        <v>40</v>
      </c>
      <c r="V63" s="83">
        <f t="shared" si="48"/>
        <v>44</v>
      </c>
      <c r="W63" s="38">
        <f>W62 +14.5</f>
        <v>33.5</v>
      </c>
      <c r="X63" s="91">
        <f t="shared" si="49"/>
        <v>36.85</v>
      </c>
      <c r="Y63" s="91">
        <f t="shared" si="50"/>
        <v>7.1499999999999986</v>
      </c>
      <c r="Z63" s="124">
        <f t="shared" si="38"/>
        <v>0.19402985074626861</v>
      </c>
      <c r="AB63" s="63">
        <v>4</v>
      </c>
      <c r="AC63" s="104">
        <v>1</v>
      </c>
      <c r="AD63" s="38">
        <f>AD62+30</f>
        <v>75</v>
      </c>
      <c r="AE63" s="87">
        <f t="shared" si="51"/>
        <v>82.5</v>
      </c>
      <c r="AF63" s="38">
        <f>AF62+35.5</f>
        <v>77</v>
      </c>
      <c r="AG63" s="90">
        <f t="shared" si="52"/>
        <v>84.7</v>
      </c>
      <c r="AH63" s="91">
        <f t="shared" si="53"/>
        <v>-2.2000000000000028</v>
      </c>
      <c r="AI63" s="124">
        <f t="shared" si="39"/>
        <v>-2.5974025974026007E-2</v>
      </c>
      <c r="AK63" s="63">
        <v>4</v>
      </c>
      <c r="AL63" s="104">
        <v>1</v>
      </c>
      <c r="AM63" s="38">
        <f>AM62+35</f>
        <v>85</v>
      </c>
      <c r="AN63" s="83">
        <f t="shared" si="54"/>
        <v>93.5</v>
      </c>
      <c r="AO63" s="38">
        <f>AO62 + 38</f>
        <v>82.5</v>
      </c>
      <c r="AP63" s="91">
        <f t="shared" si="55"/>
        <v>90.75</v>
      </c>
      <c r="AQ63" s="91">
        <f t="shared" si="56"/>
        <v>2.75</v>
      </c>
      <c r="AR63" s="124">
        <f t="shared" si="40"/>
        <v>3.0303030303030304E-2</v>
      </c>
      <c r="AT63" s="63">
        <v>4</v>
      </c>
      <c r="AU63" s="104">
        <v>1</v>
      </c>
      <c r="AV63" s="38">
        <f>AV62+60</f>
        <v>125</v>
      </c>
      <c r="AW63" s="83">
        <f t="shared" si="57"/>
        <v>137.5</v>
      </c>
      <c r="AX63" s="38">
        <f>AX62+55.5</f>
        <v>118.5</v>
      </c>
      <c r="AY63" s="91">
        <f t="shared" si="58"/>
        <v>130.35</v>
      </c>
      <c r="AZ63" s="91">
        <f t="shared" si="59"/>
        <v>7.1500000000000057</v>
      </c>
      <c r="BA63" s="124">
        <f t="shared" si="41"/>
        <v>5.485232067510553E-2</v>
      </c>
    </row>
    <row r="64" spans="1:53" ht="15" thickBot="1" x14ac:dyDescent="0.35">
      <c r="A64" s="235" t="s">
        <v>51</v>
      </c>
      <c r="B64" s="226"/>
      <c r="C64" s="226"/>
      <c r="D64" s="226"/>
      <c r="E64" s="226"/>
      <c r="F64" s="226"/>
      <c r="G64" s="226"/>
      <c r="H64" s="202">
        <f>AVERAGE(H60:H63)</f>
        <v>0.19794464794464794</v>
      </c>
      <c r="J64" s="235" t="s">
        <v>51</v>
      </c>
      <c r="K64" s="226"/>
      <c r="L64" s="226"/>
      <c r="M64" s="226"/>
      <c r="N64" s="226"/>
      <c r="O64" s="226"/>
      <c r="P64" s="226"/>
      <c r="Q64" s="202">
        <f>AVERAGE(Q60:Q63)</f>
        <v>0.18295564519327639</v>
      </c>
      <c r="S64" s="235" t="s">
        <v>51</v>
      </c>
      <c r="T64" s="226"/>
      <c r="U64" s="226"/>
      <c r="V64" s="226"/>
      <c r="W64" s="226"/>
      <c r="X64" s="226"/>
      <c r="Y64" s="226"/>
      <c r="Z64" s="202">
        <f>AVERAGE(Z60:Z63)</f>
        <v>0.2173006577955518</v>
      </c>
      <c r="AB64" s="235" t="s">
        <v>51</v>
      </c>
      <c r="AC64" s="226"/>
      <c r="AD64" s="226"/>
      <c r="AE64" s="226"/>
      <c r="AF64" s="226"/>
      <c r="AG64" s="226"/>
      <c r="AH64" s="227"/>
      <c r="AI64" s="202">
        <f>AVERAGE(AI60:AI63)</f>
        <v>0.14203207547687752</v>
      </c>
      <c r="AK64" s="235" t="s">
        <v>51</v>
      </c>
      <c r="AL64" s="226"/>
      <c r="AM64" s="226"/>
      <c r="AN64" s="226"/>
      <c r="AO64" s="226"/>
      <c r="AP64" s="226"/>
      <c r="AQ64" s="226"/>
      <c r="AR64" s="202">
        <f>AVERAGE(AR60:AR63)</f>
        <v>0.16662186988610858</v>
      </c>
      <c r="AT64" s="235" t="s">
        <v>51</v>
      </c>
      <c r="AU64" s="226"/>
      <c r="AV64" s="226"/>
      <c r="AW64" s="226"/>
      <c r="AX64" s="226"/>
      <c r="AY64" s="226"/>
      <c r="AZ64" s="226"/>
      <c r="BA64" s="202">
        <f>AVERAGE(BA60:BA63)</f>
        <v>0.11162468150503524</v>
      </c>
    </row>
  </sheetData>
  <mergeCells count="37">
    <mergeCell ref="AT64:AZ64"/>
    <mergeCell ref="AK2:AR2"/>
    <mergeCell ref="AK3:AR3"/>
    <mergeCell ref="AK55:AQ55"/>
    <mergeCell ref="AK57:AR57"/>
    <mergeCell ref="AK58:AR58"/>
    <mergeCell ref="AK64:AQ64"/>
    <mergeCell ref="AT2:BA2"/>
    <mergeCell ref="AT3:BA3"/>
    <mergeCell ref="AT55:AZ55"/>
    <mergeCell ref="AT57:BA57"/>
    <mergeCell ref="AT58:BA58"/>
    <mergeCell ref="S58:Z58"/>
    <mergeCell ref="S64:Y64"/>
    <mergeCell ref="AB2:AI2"/>
    <mergeCell ref="AB3:AI3"/>
    <mergeCell ref="AB55:AH55"/>
    <mergeCell ref="AB57:AI57"/>
    <mergeCell ref="AB58:AI58"/>
    <mergeCell ref="AB64:AH64"/>
    <mergeCell ref="A64:G64"/>
    <mergeCell ref="J2:Q2"/>
    <mergeCell ref="J3:Q3"/>
    <mergeCell ref="J55:P55"/>
    <mergeCell ref="J57:Q57"/>
    <mergeCell ref="J58:Q58"/>
    <mergeCell ref="J64:P64"/>
    <mergeCell ref="A58:H58"/>
    <mergeCell ref="A1:AM1"/>
    <mergeCell ref="A2:H2"/>
    <mergeCell ref="A3:H3"/>
    <mergeCell ref="A55:G55"/>
    <mergeCell ref="A57:H57"/>
    <mergeCell ref="S2:Z2"/>
    <mergeCell ref="S3:Z3"/>
    <mergeCell ref="S55:Y55"/>
    <mergeCell ref="S57:Z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C6D5-CB79-4B01-A8CB-8D3FDB945EE6}">
  <dimension ref="A1:V53"/>
  <sheetViews>
    <sheetView workbookViewId="0">
      <selection activeCell="F3" sqref="F3"/>
    </sheetView>
  </sheetViews>
  <sheetFormatPr defaultRowHeight="14.4" x14ac:dyDescent="0.3"/>
  <cols>
    <col min="14" max="14" width="10.21875" customWidth="1"/>
    <col min="21" max="21" width="11.88671875" customWidth="1"/>
  </cols>
  <sheetData>
    <row r="1" spans="1:22" ht="72.599999999999994" thickBot="1" x14ac:dyDescent="0.35">
      <c r="A1" s="236" t="s">
        <v>0</v>
      </c>
      <c r="B1" s="239" t="s">
        <v>22</v>
      </c>
      <c r="C1" s="242" t="s">
        <v>23</v>
      </c>
      <c r="D1" s="244" t="s">
        <v>24</v>
      </c>
      <c r="E1" s="246" t="s">
        <v>42</v>
      </c>
      <c r="F1" s="246" t="s">
        <v>43</v>
      </c>
      <c r="G1" s="156" t="s">
        <v>31</v>
      </c>
      <c r="H1" s="156" t="s">
        <v>30</v>
      </c>
      <c r="I1" s="156" t="s">
        <v>25</v>
      </c>
      <c r="J1" s="156" t="s">
        <v>26</v>
      </c>
      <c r="K1" s="156" t="s">
        <v>27</v>
      </c>
      <c r="L1" s="156" t="s">
        <v>28</v>
      </c>
      <c r="M1" s="156" t="s">
        <v>29</v>
      </c>
      <c r="N1" s="157" t="s">
        <v>34</v>
      </c>
      <c r="O1" s="157" t="s">
        <v>44</v>
      </c>
      <c r="P1" s="158" t="s">
        <v>41</v>
      </c>
      <c r="Q1" s="157" t="s">
        <v>35</v>
      </c>
      <c r="R1" s="236" t="s">
        <v>37</v>
      </c>
      <c r="S1" s="236" t="s">
        <v>36</v>
      </c>
      <c r="T1" s="236" t="s">
        <v>33</v>
      </c>
      <c r="U1" s="236" t="s">
        <v>38</v>
      </c>
      <c r="V1" s="236" t="s">
        <v>39</v>
      </c>
    </row>
    <row r="2" spans="1:22" ht="43.8" thickBot="1" x14ac:dyDescent="0.35">
      <c r="A2" s="237"/>
      <c r="B2" s="240"/>
      <c r="C2" s="243"/>
      <c r="D2" s="245"/>
      <c r="E2" s="247"/>
      <c r="F2" s="248"/>
      <c r="G2" s="161" t="s">
        <v>32</v>
      </c>
      <c r="H2" s="161" t="s">
        <v>32</v>
      </c>
      <c r="I2" s="161" t="s">
        <v>32</v>
      </c>
      <c r="J2" s="161" t="s">
        <v>32</v>
      </c>
      <c r="K2" s="161" t="s">
        <v>32</v>
      </c>
      <c r="L2" s="161" t="s">
        <v>32</v>
      </c>
      <c r="M2" s="161" t="s">
        <v>32</v>
      </c>
      <c r="N2" s="161" t="s">
        <v>17</v>
      </c>
      <c r="O2" s="161" t="s">
        <v>17</v>
      </c>
      <c r="P2" s="161" t="s">
        <v>17</v>
      </c>
      <c r="Q2" s="161" t="s">
        <v>17</v>
      </c>
      <c r="R2" s="249"/>
      <c r="S2" s="237"/>
      <c r="T2" s="237"/>
      <c r="U2" s="237"/>
      <c r="V2" s="237"/>
    </row>
    <row r="3" spans="1:22" ht="15" thickBot="1" x14ac:dyDescent="0.35">
      <c r="A3" s="238"/>
      <c r="B3" s="241"/>
      <c r="C3" s="160">
        <v>70</v>
      </c>
      <c r="D3" s="160">
        <v>180</v>
      </c>
      <c r="E3" s="160">
        <v>45</v>
      </c>
      <c r="F3" s="160">
        <v>60</v>
      </c>
      <c r="G3" s="160">
        <v>57</v>
      </c>
      <c r="H3" s="162">
        <v>58.98</v>
      </c>
      <c r="I3" s="162">
        <v>49.5</v>
      </c>
      <c r="J3" s="162">
        <v>43.25</v>
      </c>
      <c r="K3" s="162">
        <v>45.75</v>
      </c>
      <c r="L3" s="162">
        <v>54.44</v>
      </c>
      <c r="M3" s="162">
        <v>50.5</v>
      </c>
      <c r="N3" s="163">
        <v>0.1</v>
      </c>
      <c r="O3" s="163">
        <v>0.1</v>
      </c>
      <c r="P3" s="163">
        <v>0.1</v>
      </c>
      <c r="Q3" s="163">
        <v>0.35</v>
      </c>
      <c r="R3" s="250"/>
      <c r="S3" s="238"/>
      <c r="T3" s="238"/>
      <c r="U3" s="238"/>
      <c r="V3" s="238"/>
    </row>
    <row r="4" spans="1:22" ht="43.2" x14ac:dyDescent="0.3">
      <c r="A4" s="147" cm="1">
        <f t="array" ref="A4:A53">_xlfn.SEQUENCE(50)</f>
        <v>1</v>
      </c>
      <c r="B4" s="148">
        <v>1</v>
      </c>
      <c r="C4" s="159">
        <f>B4*$C$3</f>
        <v>70</v>
      </c>
      <c r="D4" s="159">
        <f t="shared" ref="D4:D53" si="0">B4*$D$3</f>
        <v>180</v>
      </c>
      <c r="E4" s="159">
        <f>$E$3*B6</f>
        <v>135</v>
      </c>
      <c r="F4" s="159">
        <f t="shared" ref="F4:F53" si="1">B4*$F$3</f>
        <v>60</v>
      </c>
      <c r="G4" s="159">
        <f>63.25+$G$3</f>
        <v>120.25</v>
      </c>
      <c r="H4" s="46">
        <f>61.65+$H$3</f>
        <v>120.63</v>
      </c>
      <c r="I4" s="46">
        <f>53.25+$I$3</f>
        <v>102.75</v>
      </c>
      <c r="J4" s="46">
        <f>47+$J$3</f>
        <v>90.25</v>
      </c>
      <c r="K4" s="46">
        <f>50.75+$K$3</f>
        <v>96.5</v>
      </c>
      <c r="L4" s="46">
        <f>45.75+$L$3</f>
        <v>100.19</v>
      </c>
      <c r="M4" s="46">
        <f>54.44+$M$3</f>
        <v>104.94</v>
      </c>
      <c r="N4" s="159">
        <f t="shared" ref="N4:N35" si="2">C4 + $N$3*C4</f>
        <v>77</v>
      </c>
      <c r="O4" s="159">
        <f t="shared" ref="O4:O35" si="3">E4 + $O$3*E4</f>
        <v>148.5</v>
      </c>
      <c r="P4" s="159">
        <f t="shared" ref="P4:P35" si="4">F4 + $P$3*F4</f>
        <v>66</v>
      </c>
      <c r="Q4" s="159">
        <f t="shared" ref="Q4:Q35" si="5">D4 + $Q$3*D4</f>
        <v>243</v>
      </c>
      <c r="R4" s="149">
        <f>MAX(G4:Q4)</f>
        <v>243</v>
      </c>
      <c r="S4" s="150">
        <f>MIN(G4:Q4)</f>
        <v>66</v>
      </c>
      <c r="T4" s="151">
        <f>R4 - S4</f>
        <v>177</v>
      </c>
      <c r="U4" s="152" t="str">
        <f>INDEX($C$1:$M$1, MATCH(MIN(C6:M6), C6:M6, 0))</f>
        <v>DTDC PER KG</v>
      </c>
      <c r="V4" s="153" t="str">
        <f>INDEX($G$1:$Q$1, MATCH(MAX(G4:Q4), G4:Q4,0))</f>
        <v>ANJANI COURIER SERVICE</v>
      </c>
    </row>
    <row r="5" spans="1:22" x14ac:dyDescent="0.3">
      <c r="A5" s="142">
        <v>2</v>
      </c>
      <c r="B5" s="16">
        <f>B4 + 1</f>
        <v>2</v>
      </c>
      <c r="C5" s="12">
        <f>B5*$C$3</f>
        <v>140</v>
      </c>
      <c r="D5" s="12">
        <f t="shared" si="0"/>
        <v>360</v>
      </c>
      <c r="E5" s="12">
        <f>$E$3*B6</f>
        <v>135</v>
      </c>
      <c r="F5" s="12">
        <f t="shared" si="1"/>
        <v>120</v>
      </c>
      <c r="G5" s="12">
        <f>SUM(G4,$G$3*2)</f>
        <v>234.25</v>
      </c>
      <c r="H5" s="13">
        <f>SUM(H4, $H$3*2)</f>
        <v>238.58999999999997</v>
      </c>
      <c r="I5" s="13">
        <f>SUM(I4, $I$3*2)</f>
        <v>201.75</v>
      </c>
      <c r="J5" s="13">
        <f>SUM(J4, $J$3*2)</f>
        <v>176.75</v>
      </c>
      <c r="K5" s="13">
        <f>SUM(K4, $K$3*2)</f>
        <v>188</v>
      </c>
      <c r="L5" s="13">
        <f>SUM(L4, $L$3*2)</f>
        <v>209.07</v>
      </c>
      <c r="M5" s="13">
        <f>SUM(M4, $M$3*2)</f>
        <v>205.94</v>
      </c>
      <c r="N5" s="12">
        <f t="shared" si="2"/>
        <v>154</v>
      </c>
      <c r="O5" s="12">
        <f t="shared" si="3"/>
        <v>148.5</v>
      </c>
      <c r="P5" s="12">
        <f t="shared" si="4"/>
        <v>132</v>
      </c>
      <c r="Q5" s="12">
        <f t="shared" si="5"/>
        <v>486</v>
      </c>
      <c r="R5" s="13">
        <f t="shared" ref="R5:R36" si="6">MAX(N5, Q5, G5:L5)</f>
        <v>486</v>
      </c>
      <c r="S5" s="13">
        <f t="shared" ref="S5:S36" si="7">MIN(N5, Q5, G5:Q5)</f>
        <v>132</v>
      </c>
      <c r="T5" s="11">
        <f t="shared" ref="T5:T53" si="8">R5 - S5</f>
        <v>354</v>
      </c>
      <c r="U5" s="2"/>
      <c r="V5" s="3"/>
    </row>
    <row r="6" spans="1:22" x14ac:dyDescent="0.3">
      <c r="A6" s="142">
        <v>3</v>
      </c>
      <c r="B6" s="16">
        <f t="shared" ref="B6:B53" si="9">B5 + 1</f>
        <v>3</v>
      </c>
      <c r="C6" s="12">
        <f t="shared" ref="C6:C53" si="10">B6*$C$3</f>
        <v>210</v>
      </c>
      <c r="D6" s="12">
        <f t="shared" si="0"/>
        <v>540</v>
      </c>
      <c r="E6" s="12">
        <f>$E$3*B6</f>
        <v>135</v>
      </c>
      <c r="F6" s="12">
        <f t="shared" si="1"/>
        <v>180</v>
      </c>
      <c r="G6" s="12">
        <f t="shared" ref="G6:G53" si="11">SUM(G5,$G$3*2)</f>
        <v>348.25</v>
      </c>
      <c r="H6" s="13">
        <f t="shared" ref="H6:H53" si="12">SUM(H5, $H$3*2)</f>
        <v>356.54999999999995</v>
      </c>
      <c r="I6" s="13">
        <f t="shared" ref="I6:I53" si="13">SUM(I5, $I$3*2)</f>
        <v>300.75</v>
      </c>
      <c r="J6" s="13">
        <f t="shared" ref="J6:J53" si="14">SUM(J5, $J$3*2)</f>
        <v>263.25</v>
      </c>
      <c r="K6" s="13">
        <f t="shared" ref="K6:K53" si="15">SUM(K5, $K$3*2)</f>
        <v>279.5</v>
      </c>
      <c r="L6" s="13">
        <f t="shared" ref="L6:L53" si="16">SUM(L5, $L$3*2)</f>
        <v>317.95</v>
      </c>
      <c r="M6" s="13">
        <f t="shared" ref="M6:M53" si="17">SUM(M5, $M$3*2)</f>
        <v>306.94</v>
      </c>
      <c r="N6" s="12">
        <f t="shared" si="2"/>
        <v>231</v>
      </c>
      <c r="O6" s="12">
        <f t="shared" si="3"/>
        <v>148.5</v>
      </c>
      <c r="P6" s="12">
        <f t="shared" si="4"/>
        <v>198</v>
      </c>
      <c r="Q6" s="12">
        <f t="shared" si="5"/>
        <v>729</v>
      </c>
      <c r="R6" s="13">
        <f t="shared" si="6"/>
        <v>729</v>
      </c>
      <c r="S6" s="13">
        <f t="shared" si="7"/>
        <v>148.5</v>
      </c>
      <c r="T6" s="11">
        <f t="shared" si="8"/>
        <v>580.5</v>
      </c>
      <c r="U6" s="2"/>
      <c r="V6" s="3"/>
    </row>
    <row r="7" spans="1:22" x14ac:dyDescent="0.3">
      <c r="A7" s="142">
        <v>4</v>
      </c>
      <c r="B7" s="16">
        <f t="shared" si="9"/>
        <v>4</v>
      </c>
      <c r="C7" s="12">
        <f t="shared" si="10"/>
        <v>280</v>
      </c>
      <c r="D7" s="12">
        <f t="shared" si="0"/>
        <v>720</v>
      </c>
      <c r="E7" s="12">
        <f>$E$3*B7</f>
        <v>180</v>
      </c>
      <c r="F7" s="12">
        <f t="shared" si="1"/>
        <v>240</v>
      </c>
      <c r="G7" s="12">
        <f t="shared" si="11"/>
        <v>462.25</v>
      </c>
      <c r="H7" s="13">
        <f t="shared" si="12"/>
        <v>474.50999999999993</v>
      </c>
      <c r="I7" s="13">
        <f t="shared" si="13"/>
        <v>399.75</v>
      </c>
      <c r="J7" s="13">
        <f t="shared" si="14"/>
        <v>349.75</v>
      </c>
      <c r="K7" s="13">
        <f t="shared" si="15"/>
        <v>371</v>
      </c>
      <c r="L7" s="13">
        <f t="shared" si="16"/>
        <v>426.83</v>
      </c>
      <c r="M7" s="13">
        <f t="shared" si="17"/>
        <v>407.94</v>
      </c>
      <c r="N7" s="12">
        <f t="shared" si="2"/>
        <v>308</v>
      </c>
      <c r="O7" s="12">
        <f t="shared" si="3"/>
        <v>198</v>
      </c>
      <c r="P7" s="12">
        <f t="shared" si="4"/>
        <v>264</v>
      </c>
      <c r="Q7" s="12">
        <f t="shared" si="5"/>
        <v>972</v>
      </c>
      <c r="R7" s="13">
        <f t="shared" si="6"/>
        <v>972</v>
      </c>
      <c r="S7" s="13">
        <f t="shared" si="7"/>
        <v>198</v>
      </c>
      <c r="T7" s="11">
        <f t="shared" si="8"/>
        <v>774</v>
      </c>
      <c r="U7" s="2"/>
      <c r="V7" s="3"/>
    </row>
    <row r="8" spans="1:22" x14ac:dyDescent="0.3">
      <c r="A8" s="142">
        <v>5</v>
      </c>
      <c r="B8" s="16">
        <f t="shared" si="9"/>
        <v>5</v>
      </c>
      <c r="C8" s="12">
        <f t="shared" si="10"/>
        <v>350</v>
      </c>
      <c r="D8" s="12">
        <f t="shared" si="0"/>
        <v>900</v>
      </c>
      <c r="E8" s="12">
        <f t="shared" ref="E8:E53" si="18">$E$3*B8</f>
        <v>225</v>
      </c>
      <c r="F8" s="12">
        <f t="shared" si="1"/>
        <v>300</v>
      </c>
      <c r="G8" s="12">
        <f t="shared" si="11"/>
        <v>576.25</v>
      </c>
      <c r="H8" s="13">
        <f t="shared" si="12"/>
        <v>592.46999999999991</v>
      </c>
      <c r="I8" s="13">
        <f t="shared" si="13"/>
        <v>498.75</v>
      </c>
      <c r="J8" s="13">
        <f t="shared" si="14"/>
        <v>436.25</v>
      </c>
      <c r="K8" s="13">
        <f t="shared" si="15"/>
        <v>462.5</v>
      </c>
      <c r="L8" s="13">
        <f t="shared" si="16"/>
        <v>535.71</v>
      </c>
      <c r="M8" s="13">
        <f t="shared" si="17"/>
        <v>508.94</v>
      </c>
      <c r="N8" s="12">
        <f t="shared" si="2"/>
        <v>385</v>
      </c>
      <c r="O8" s="12">
        <f t="shared" si="3"/>
        <v>247.5</v>
      </c>
      <c r="P8" s="12">
        <f t="shared" si="4"/>
        <v>330</v>
      </c>
      <c r="Q8" s="12">
        <f t="shared" si="5"/>
        <v>1215</v>
      </c>
      <c r="R8" s="13">
        <f t="shared" si="6"/>
        <v>1215</v>
      </c>
      <c r="S8" s="13">
        <f t="shared" si="7"/>
        <v>247.5</v>
      </c>
      <c r="T8" s="11">
        <f t="shared" si="8"/>
        <v>967.5</v>
      </c>
      <c r="U8" s="2"/>
      <c r="V8" s="3"/>
    </row>
    <row r="9" spans="1:22" x14ac:dyDescent="0.3">
      <c r="A9" s="142">
        <v>6</v>
      </c>
      <c r="B9" s="16">
        <f t="shared" si="9"/>
        <v>6</v>
      </c>
      <c r="C9" s="12">
        <f t="shared" si="10"/>
        <v>420</v>
      </c>
      <c r="D9" s="12">
        <f t="shared" si="0"/>
        <v>1080</v>
      </c>
      <c r="E9" s="12">
        <f t="shared" si="18"/>
        <v>270</v>
      </c>
      <c r="F9" s="12">
        <f t="shared" si="1"/>
        <v>360</v>
      </c>
      <c r="G9" s="12">
        <f t="shared" si="11"/>
        <v>690.25</v>
      </c>
      <c r="H9" s="13">
        <f t="shared" si="12"/>
        <v>710.43</v>
      </c>
      <c r="I9" s="13">
        <f t="shared" si="13"/>
        <v>597.75</v>
      </c>
      <c r="J9" s="13">
        <f t="shared" si="14"/>
        <v>522.75</v>
      </c>
      <c r="K9" s="13">
        <f t="shared" si="15"/>
        <v>554</v>
      </c>
      <c r="L9" s="13">
        <f t="shared" si="16"/>
        <v>644.59</v>
      </c>
      <c r="M9" s="13">
        <f t="shared" si="17"/>
        <v>609.94000000000005</v>
      </c>
      <c r="N9" s="12">
        <f t="shared" si="2"/>
        <v>462</v>
      </c>
      <c r="O9" s="12">
        <f t="shared" si="3"/>
        <v>297</v>
      </c>
      <c r="P9" s="12">
        <f t="shared" si="4"/>
        <v>396</v>
      </c>
      <c r="Q9" s="12">
        <f t="shared" si="5"/>
        <v>1458</v>
      </c>
      <c r="R9" s="13">
        <f t="shared" si="6"/>
        <v>1458</v>
      </c>
      <c r="S9" s="13">
        <f t="shared" si="7"/>
        <v>297</v>
      </c>
      <c r="T9" s="11">
        <f t="shared" si="8"/>
        <v>1161</v>
      </c>
      <c r="U9" s="2"/>
      <c r="V9" s="3"/>
    </row>
    <row r="10" spans="1:22" x14ac:dyDescent="0.3">
      <c r="A10" s="142">
        <v>7</v>
      </c>
      <c r="B10" s="16">
        <f t="shared" si="9"/>
        <v>7</v>
      </c>
      <c r="C10" s="12">
        <f t="shared" si="10"/>
        <v>490</v>
      </c>
      <c r="D10" s="12">
        <f t="shared" si="0"/>
        <v>1260</v>
      </c>
      <c r="E10" s="12">
        <f t="shared" si="18"/>
        <v>315</v>
      </c>
      <c r="F10" s="12">
        <f t="shared" si="1"/>
        <v>420</v>
      </c>
      <c r="G10" s="12">
        <f t="shared" si="11"/>
        <v>804.25</v>
      </c>
      <c r="H10" s="13">
        <f t="shared" si="12"/>
        <v>828.39</v>
      </c>
      <c r="I10" s="13">
        <f t="shared" si="13"/>
        <v>696.75</v>
      </c>
      <c r="J10" s="13">
        <f t="shared" si="14"/>
        <v>609.25</v>
      </c>
      <c r="K10" s="13">
        <f t="shared" si="15"/>
        <v>645.5</v>
      </c>
      <c r="L10" s="13">
        <f t="shared" si="16"/>
        <v>753.47</v>
      </c>
      <c r="M10" s="13">
        <f t="shared" si="17"/>
        <v>710.94</v>
      </c>
      <c r="N10" s="12">
        <f t="shared" si="2"/>
        <v>539</v>
      </c>
      <c r="O10" s="12">
        <f t="shared" si="3"/>
        <v>346.5</v>
      </c>
      <c r="P10" s="12">
        <f t="shared" si="4"/>
        <v>462</v>
      </c>
      <c r="Q10" s="12">
        <f t="shared" si="5"/>
        <v>1701</v>
      </c>
      <c r="R10" s="13">
        <f t="shared" si="6"/>
        <v>1701</v>
      </c>
      <c r="S10" s="13">
        <f t="shared" si="7"/>
        <v>346.5</v>
      </c>
      <c r="T10" s="11">
        <f t="shared" si="8"/>
        <v>1354.5</v>
      </c>
      <c r="U10" s="2"/>
      <c r="V10" s="3"/>
    </row>
    <row r="11" spans="1:22" x14ac:dyDescent="0.3">
      <c r="A11" s="142">
        <v>8</v>
      </c>
      <c r="B11" s="16">
        <f t="shared" si="9"/>
        <v>8</v>
      </c>
      <c r="C11" s="12">
        <f t="shared" si="10"/>
        <v>560</v>
      </c>
      <c r="D11" s="12">
        <f t="shared" si="0"/>
        <v>1440</v>
      </c>
      <c r="E11" s="12">
        <f t="shared" si="18"/>
        <v>360</v>
      </c>
      <c r="F11" s="12">
        <f t="shared" si="1"/>
        <v>480</v>
      </c>
      <c r="G11" s="12">
        <f t="shared" si="11"/>
        <v>918.25</v>
      </c>
      <c r="H11" s="13">
        <f t="shared" si="12"/>
        <v>946.35</v>
      </c>
      <c r="I11" s="13">
        <f t="shared" si="13"/>
        <v>795.75</v>
      </c>
      <c r="J11" s="13">
        <f t="shared" si="14"/>
        <v>695.75</v>
      </c>
      <c r="K11" s="13">
        <f t="shared" si="15"/>
        <v>737</v>
      </c>
      <c r="L11" s="13">
        <f t="shared" si="16"/>
        <v>862.35</v>
      </c>
      <c r="M11" s="13">
        <f t="shared" si="17"/>
        <v>811.94</v>
      </c>
      <c r="N11" s="12">
        <f t="shared" si="2"/>
        <v>616</v>
      </c>
      <c r="O11" s="12">
        <f t="shared" si="3"/>
        <v>396</v>
      </c>
      <c r="P11" s="12">
        <f t="shared" si="4"/>
        <v>528</v>
      </c>
      <c r="Q11" s="12">
        <f t="shared" si="5"/>
        <v>1944</v>
      </c>
      <c r="R11" s="13">
        <f t="shared" si="6"/>
        <v>1944</v>
      </c>
      <c r="S11" s="13">
        <f t="shared" si="7"/>
        <v>396</v>
      </c>
      <c r="T11" s="11">
        <f t="shared" si="8"/>
        <v>1548</v>
      </c>
      <c r="U11" s="2"/>
      <c r="V11" s="3"/>
    </row>
    <row r="12" spans="1:22" x14ac:dyDescent="0.3">
      <c r="A12" s="142">
        <v>9</v>
      </c>
      <c r="B12" s="16">
        <f t="shared" si="9"/>
        <v>9</v>
      </c>
      <c r="C12" s="12">
        <f t="shared" si="10"/>
        <v>630</v>
      </c>
      <c r="D12" s="12">
        <f t="shared" si="0"/>
        <v>1620</v>
      </c>
      <c r="E12" s="12">
        <f t="shared" si="18"/>
        <v>405</v>
      </c>
      <c r="F12" s="12">
        <f t="shared" si="1"/>
        <v>540</v>
      </c>
      <c r="G12" s="12">
        <f t="shared" si="11"/>
        <v>1032.25</v>
      </c>
      <c r="H12" s="13">
        <f t="shared" si="12"/>
        <v>1064.31</v>
      </c>
      <c r="I12" s="13">
        <f t="shared" si="13"/>
        <v>894.75</v>
      </c>
      <c r="J12" s="13">
        <f t="shared" si="14"/>
        <v>782.25</v>
      </c>
      <c r="K12" s="13">
        <f t="shared" si="15"/>
        <v>828.5</v>
      </c>
      <c r="L12" s="13">
        <f t="shared" si="16"/>
        <v>971.23</v>
      </c>
      <c r="M12" s="13">
        <f t="shared" si="17"/>
        <v>912.94</v>
      </c>
      <c r="N12" s="12">
        <f t="shared" si="2"/>
        <v>693</v>
      </c>
      <c r="O12" s="12">
        <f t="shared" si="3"/>
        <v>445.5</v>
      </c>
      <c r="P12" s="12">
        <f t="shared" si="4"/>
        <v>594</v>
      </c>
      <c r="Q12" s="12">
        <f t="shared" si="5"/>
        <v>2187</v>
      </c>
      <c r="R12" s="13">
        <f t="shared" si="6"/>
        <v>2187</v>
      </c>
      <c r="S12" s="13">
        <f t="shared" si="7"/>
        <v>445.5</v>
      </c>
      <c r="T12" s="11">
        <f t="shared" si="8"/>
        <v>1741.5</v>
      </c>
      <c r="U12" s="2"/>
      <c r="V12" s="3"/>
    </row>
    <row r="13" spans="1:22" x14ac:dyDescent="0.3">
      <c r="A13" s="142">
        <v>10</v>
      </c>
      <c r="B13" s="16">
        <f t="shared" si="9"/>
        <v>10</v>
      </c>
      <c r="C13" s="12">
        <f t="shared" si="10"/>
        <v>700</v>
      </c>
      <c r="D13" s="12">
        <f t="shared" si="0"/>
        <v>1800</v>
      </c>
      <c r="E13" s="12">
        <f t="shared" si="18"/>
        <v>450</v>
      </c>
      <c r="F13" s="12">
        <f t="shared" si="1"/>
        <v>600</v>
      </c>
      <c r="G13" s="12">
        <f t="shared" si="11"/>
        <v>1146.25</v>
      </c>
      <c r="H13" s="13">
        <f t="shared" si="12"/>
        <v>1182.27</v>
      </c>
      <c r="I13" s="13">
        <f t="shared" si="13"/>
        <v>993.75</v>
      </c>
      <c r="J13" s="13">
        <f t="shared" si="14"/>
        <v>868.75</v>
      </c>
      <c r="K13" s="13">
        <f t="shared" si="15"/>
        <v>920</v>
      </c>
      <c r="L13" s="13">
        <f t="shared" si="16"/>
        <v>1080.1100000000001</v>
      </c>
      <c r="M13" s="13">
        <f t="shared" si="17"/>
        <v>1013.94</v>
      </c>
      <c r="N13" s="12">
        <f t="shared" si="2"/>
        <v>770</v>
      </c>
      <c r="O13" s="12">
        <f t="shared" si="3"/>
        <v>495</v>
      </c>
      <c r="P13" s="12">
        <f t="shared" si="4"/>
        <v>660</v>
      </c>
      <c r="Q13" s="12">
        <f t="shared" si="5"/>
        <v>2430</v>
      </c>
      <c r="R13" s="13">
        <f t="shared" si="6"/>
        <v>2430</v>
      </c>
      <c r="S13" s="13">
        <f t="shared" si="7"/>
        <v>495</v>
      </c>
      <c r="T13" s="11">
        <f t="shared" si="8"/>
        <v>1935</v>
      </c>
      <c r="U13" s="2"/>
      <c r="V13" s="3"/>
    </row>
    <row r="14" spans="1:22" x14ac:dyDescent="0.3">
      <c r="A14" s="142">
        <v>11</v>
      </c>
      <c r="B14" s="16">
        <f t="shared" si="9"/>
        <v>11</v>
      </c>
      <c r="C14" s="12">
        <f t="shared" si="10"/>
        <v>770</v>
      </c>
      <c r="D14" s="12">
        <f t="shared" si="0"/>
        <v>1980</v>
      </c>
      <c r="E14" s="12">
        <f t="shared" si="18"/>
        <v>495</v>
      </c>
      <c r="F14" s="12">
        <f t="shared" si="1"/>
        <v>660</v>
      </c>
      <c r="G14" s="12">
        <f t="shared" si="11"/>
        <v>1260.25</v>
      </c>
      <c r="H14" s="13">
        <f t="shared" si="12"/>
        <v>1300.23</v>
      </c>
      <c r="I14" s="13">
        <f t="shared" si="13"/>
        <v>1092.75</v>
      </c>
      <c r="J14" s="13">
        <f t="shared" si="14"/>
        <v>955.25</v>
      </c>
      <c r="K14" s="13">
        <f t="shared" si="15"/>
        <v>1011.5</v>
      </c>
      <c r="L14" s="13">
        <f t="shared" si="16"/>
        <v>1188.9900000000002</v>
      </c>
      <c r="M14" s="13">
        <f t="shared" si="17"/>
        <v>1114.94</v>
      </c>
      <c r="N14" s="12">
        <f t="shared" si="2"/>
        <v>847</v>
      </c>
      <c r="O14" s="12">
        <f t="shared" si="3"/>
        <v>544.5</v>
      </c>
      <c r="P14" s="12">
        <f t="shared" si="4"/>
        <v>726</v>
      </c>
      <c r="Q14" s="12">
        <f t="shared" si="5"/>
        <v>2673</v>
      </c>
      <c r="R14" s="13">
        <f t="shared" si="6"/>
        <v>2673</v>
      </c>
      <c r="S14" s="13">
        <f t="shared" si="7"/>
        <v>544.5</v>
      </c>
      <c r="T14" s="11">
        <f t="shared" si="8"/>
        <v>2128.5</v>
      </c>
      <c r="U14" s="2"/>
      <c r="V14" s="3"/>
    </row>
    <row r="15" spans="1:22" x14ac:dyDescent="0.3">
      <c r="A15" s="142">
        <v>12</v>
      </c>
      <c r="B15" s="16">
        <f t="shared" si="9"/>
        <v>12</v>
      </c>
      <c r="C15" s="12">
        <f t="shared" si="10"/>
        <v>840</v>
      </c>
      <c r="D15" s="12">
        <f t="shared" si="0"/>
        <v>2160</v>
      </c>
      <c r="E15" s="12">
        <f t="shared" si="18"/>
        <v>540</v>
      </c>
      <c r="F15" s="12">
        <f t="shared" si="1"/>
        <v>720</v>
      </c>
      <c r="G15" s="12">
        <f t="shared" si="11"/>
        <v>1374.25</v>
      </c>
      <c r="H15" s="13">
        <f t="shared" si="12"/>
        <v>1418.19</v>
      </c>
      <c r="I15" s="13">
        <f t="shared" si="13"/>
        <v>1191.75</v>
      </c>
      <c r="J15" s="13">
        <f t="shared" si="14"/>
        <v>1041.75</v>
      </c>
      <c r="K15" s="13">
        <f t="shared" si="15"/>
        <v>1103</v>
      </c>
      <c r="L15" s="13">
        <f t="shared" si="16"/>
        <v>1297.8700000000003</v>
      </c>
      <c r="M15" s="13">
        <f t="shared" si="17"/>
        <v>1215.94</v>
      </c>
      <c r="N15" s="12">
        <f t="shared" si="2"/>
        <v>924</v>
      </c>
      <c r="O15" s="12">
        <f t="shared" si="3"/>
        <v>594</v>
      </c>
      <c r="P15" s="12">
        <f t="shared" si="4"/>
        <v>792</v>
      </c>
      <c r="Q15" s="12">
        <f t="shared" si="5"/>
        <v>2916</v>
      </c>
      <c r="R15" s="13">
        <f t="shared" si="6"/>
        <v>2916</v>
      </c>
      <c r="S15" s="13">
        <f t="shared" si="7"/>
        <v>594</v>
      </c>
      <c r="T15" s="11">
        <f t="shared" si="8"/>
        <v>2322</v>
      </c>
      <c r="U15" s="2"/>
      <c r="V15" s="3"/>
    </row>
    <row r="16" spans="1:22" x14ac:dyDescent="0.3">
      <c r="A16" s="142">
        <v>13</v>
      </c>
      <c r="B16" s="16">
        <f t="shared" si="9"/>
        <v>13</v>
      </c>
      <c r="C16" s="12">
        <f t="shared" si="10"/>
        <v>910</v>
      </c>
      <c r="D16" s="12">
        <f t="shared" si="0"/>
        <v>2340</v>
      </c>
      <c r="E16" s="12">
        <f t="shared" si="18"/>
        <v>585</v>
      </c>
      <c r="F16" s="12">
        <f t="shared" si="1"/>
        <v>780</v>
      </c>
      <c r="G16" s="12">
        <f t="shared" si="11"/>
        <v>1488.25</v>
      </c>
      <c r="H16" s="13">
        <f t="shared" si="12"/>
        <v>1536.15</v>
      </c>
      <c r="I16" s="13">
        <f t="shared" si="13"/>
        <v>1290.75</v>
      </c>
      <c r="J16" s="13">
        <f t="shared" si="14"/>
        <v>1128.25</v>
      </c>
      <c r="K16" s="13">
        <f t="shared" si="15"/>
        <v>1194.5</v>
      </c>
      <c r="L16" s="13">
        <f t="shared" si="16"/>
        <v>1406.7500000000005</v>
      </c>
      <c r="M16" s="13">
        <f t="shared" si="17"/>
        <v>1316.94</v>
      </c>
      <c r="N16" s="12">
        <f t="shared" si="2"/>
        <v>1001</v>
      </c>
      <c r="O16" s="12">
        <f t="shared" si="3"/>
        <v>643.5</v>
      </c>
      <c r="P16" s="12">
        <f t="shared" si="4"/>
        <v>858</v>
      </c>
      <c r="Q16" s="12">
        <f t="shared" si="5"/>
        <v>3159</v>
      </c>
      <c r="R16" s="13">
        <f t="shared" si="6"/>
        <v>3159</v>
      </c>
      <c r="S16" s="13">
        <f t="shared" si="7"/>
        <v>643.5</v>
      </c>
      <c r="T16" s="11">
        <f t="shared" si="8"/>
        <v>2515.5</v>
      </c>
      <c r="U16" s="2"/>
      <c r="V16" s="3"/>
    </row>
    <row r="17" spans="1:22" x14ac:dyDescent="0.3">
      <c r="A17" s="142">
        <v>14</v>
      </c>
      <c r="B17" s="16">
        <f t="shared" si="9"/>
        <v>14</v>
      </c>
      <c r="C17" s="12">
        <f t="shared" si="10"/>
        <v>980</v>
      </c>
      <c r="D17" s="12">
        <f t="shared" si="0"/>
        <v>2520</v>
      </c>
      <c r="E17" s="12">
        <f t="shared" si="18"/>
        <v>630</v>
      </c>
      <c r="F17" s="12">
        <f t="shared" si="1"/>
        <v>840</v>
      </c>
      <c r="G17" s="12">
        <f t="shared" si="11"/>
        <v>1602.25</v>
      </c>
      <c r="H17" s="13">
        <f t="shared" si="12"/>
        <v>1654.1100000000001</v>
      </c>
      <c r="I17" s="13">
        <f t="shared" si="13"/>
        <v>1389.75</v>
      </c>
      <c r="J17" s="13">
        <f t="shared" si="14"/>
        <v>1214.75</v>
      </c>
      <c r="K17" s="13">
        <f t="shared" si="15"/>
        <v>1286</v>
      </c>
      <c r="L17" s="13">
        <f t="shared" si="16"/>
        <v>1515.6300000000006</v>
      </c>
      <c r="M17" s="13">
        <f t="shared" si="17"/>
        <v>1417.94</v>
      </c>
      <c r="N17" s="12">
        <f t="shared" si="2"/>
        <v>1078</v>
      </c>
      <c r="O17" s="12">
        <f t="shared" si="3"/>
        <v>693</v>
      </c>
      <c r="P17" s="12">
        <f t="shared" si="4"/>
        <v>924</v>
      </c>
      <c r="Q17" s="12">
        <f t="shared" si="5"/>
        <v>3402</v>
      </c>
      <c r="R17" s="13">
        <f t="shared" si="6"/>
        <v>3402</v>
      </c>
      <c r="S17" s="13">
        <f t="shared" si="7"/>
        <v>693</v>
      </c>
      <c r="T17" s="11">
        <f t="shared" si="8"/>
        <v>2709</v>
      </c>
      <c r="U17" s="2"/>
      <c r="V17" s="3"/>
    </row>
    <row r="18" spans="1:22" x14ac:dyDescent="0.3">
      <c r="A18" s="142">
        <v>15</v>
      </c>
      <c r="B18" s="16">
        <f t="shared" si="9"/>
        <v>15</v>
      </c>
      <c r="C18" s="12">
        <f t="shared" si="10"/>
        <v>1050</v>
      </c>
      <c r="D18" s="12">
        <f t="shared" si="0"/>
        <v>2700</v>
      </c>
      <c r="E18" s="12">
        <f t="shared" si="18"/>
        <v>675</v>
      </c>
      <c r="F18" s="12">
        <f t="shared" si="1"/>
        <v>900</v>
      </c>
      <c r="G18" s="12">
        <f t="shared" si="11"/>
        <v>1716.25</v>
      </c>
      <c r="H18" s="13">
        <f t="shared" si="12"/>
        <v>1772.0700000000002</v>
      </c>
      <c r="I18" s="13">
        <f t="shared" si="13"/>
        <v>1488.75</v>
      </c>
      <c r="J18" s="13">
        <f t="shared" si="14"/>
        <v>1301.25</v>
      </c>
      <c r="K18" s="13">
        <f t="shared" si="15"/>
        <v>1377.5</v>
      </c>
      <c r="L18" s="13">
        <f t="shared" si="16"/>
        <v>1624.5100000000007</v>
      </c>
      <c r="M18" s="13">
        <f t="shared" si="17"/>
        <v>1518.94</v>
      </c>
      <c r="N18" s="12">
        <f t="shared" si="2"/>
        <v>1155</v>
      </c>
      <c r="O18" s="12">
        <f t="shared" si="3"/>
        <v>742.5</v>
      </c>
      <c r="P18" s="12">
        <f t="shared" si="4"/>
        <v>990</v>
      </c>
      <c r="Q18" s="12">
        <f t="shared" si="5"/>
        <v>3645</v>
      </c>
      <c r="R18" s="13">
        <f t="shared" si="6"/>
        <v>3645</v>
      </c>
      <c r="S18" s="13">
        <f t="shared" si="7"/>
        <v>742.5</v>
      </c>
      <c r="T18" s="11">
        <f t="shared" si="8"/>
        <v>2902.5</v>
      </c>
      <c r="U18" s="2"/>
      <c r="V18" s="3"/>
    </row>
    <row r="19" spans="1:22" x14ac:dyDescent="0.3">
      <c r="A19" s="142">
        <v>16</v>
      </c>
      <c r="B19" s="16">
        <f t="shared" si="9"/>
        <v>16</v>
      </c>
      <c r="C19" s="12">
        <f t="shared" si="10"/>
        <v>1120</v>
      </c>
      <c r="D19" s="12">
        <f t="shared" si="0"/>
        <v>2880</v>
      </c>
      <c r="E19" s="12">
        <f t="shared" si="18"/>
        <v>720</v>
      </c>
      <c r="F19" s="12">
        <f t="shared" si="1"/>
        <v>960</v>
      </c>
      <c r="G19" s="12">
        <f t="shared" si="11"/>
        <v>1830.25</v>
      </c>
      <c r="H19" s="13">
        <f t="shared" si="12"/>
        <v>1890.0300000000002</v>
      </c>
      <c r="I19" s="13">
        <f t="shared" si="13"/>
        <v>1587.75</v>
      </c>
      <c r="J19" s="13">
        <f t="shared" si="14"/>
        <v>1387.75</v>
      </c>
      <c r="K19" s="13">
        <f t="shared" si="15"/>
        <v>1469</v>
      </c>
      <c r="L19" s="13">
        <f t="shared" si="16"/>
        <v>1733.3900000000008</v>
      </c>
      <c r="M19" s="13">
        <f t="shared" si="17"/>
        <v>1619.94</v>
      </c>
      <c r="N19" s="12">
        <f t="shared" si="2"/>
        <v>1232</v>
      </c>
      <c r="O19" s="12">
        <f t="shared" si="3"/>
        <v>792</v>
      </c>
      <c r="P19" s="12">
        <f t="shared" si="4"/>
        <v>1056</v>
      </c>
      <c r="Q19" s="12">
        <f t="shared" si="5"/>
        <v>3888</v>
      </c>
      <c r="R19" s="13">
        <f t="shared" si="6"/>
        <v>3888</v>
      </c>
      <c r="S19" s="13">
        <f t="shared" si="7"/>
        <v>792</v>
      </c>
      <c r="T19" s="11">
        <f t="shared" si="8"/>
        <v>3096</v>
      </c>
      <c r="U19" s="2"/>
      <c r="V19" s="3"/>
    </row>
    <row r="20" spans="1:22" x14ac:dyDescent="0.3">
      <c r="A20" s="142">
        <v>17</v>
      </c>
      <c r="B20" s="16">
        <f t="shared" si="9"/>
        <v>17</v>
      </c>
      <c r="C20" s="12">
        <f t="shared" si="10"/>
        <v>1190</v>
      </c>
      <c r="D20" s="12">
        <f t="shared" si="0"/>
        <v>3060</v>
      </c>
      <c r="E20" s="12">
        <f t="shared" si="18"/>
        <v>765</v>
      </c>
      <c r="F20" s="12">
        <f t="shared" si="1"/>
        <v>1020</v>
      </c>
      <c r="G20" s="12">
        <f t="shared" si="11"/>
        <v>1944.25</v>
      </c>
      <c r="H20" s="13">
        <f t="shared" si="12"/>
        <v>2007.9900000000002</v>
      </c>
      <c r="I20" s="13">
        <f t="shared" si="13"/>
        <v>1686.75</v>
      </c>
      <c r="J20" s="13">
        <f t="shared" si="14"/>
        <v>1474.25</v>
      </c>
      <c r="K20" s="13">
        <f t="shared" si="15"/>
        <v>1560.5</v>
      </c>
      <c r="L20" s="13">
        <f t="shared" si="16"/>
        <v>1842.2700000000009</v>
      </c>
      <c r="M20" s="13">
        <f t="shared" si="17"/>
        <v>1720.94</v>
      </c>
      <c r="N20" s="12">
        <f t="shared" si="2"/>
        <v>1309</v>
      </c>
      <c r="O20" s="12">
        <f t="shared" si="3"/>
        <v>841.5</v>
      </c>
      <c r="P20" s="12">
        <f t="shared" si="4"/>
        <v>1122</v>
      </c>
      <c r="Q20" s="12">
        <f t="shared" si="5"/>
        <v>4131</v>
      </c>
      <c r="R20" s="13">
        <f t="shared" si="6"/>
        <v>4131</v>
      </c>
      <c r="S20" s="13">
        <f t="shared" si="7"/>
        <v>841.5</v>
      </c>
      <c r="T20" s="11">
        <f t="shared" si="8"/>
        <v>3289.5</v>
      </c>
      <c r="U20" s="2"/>
      <c r="V20" s="3"/>
    </row>
    <row r="21" spans="1:22" x14ac:dyDescent="0.3">
      <c r="A21" s="142">
        <v>18</v>
      </c>
      <c r="B21" s="16">
        <f t="shared" si="9"/>
        <v>18</v>
      </c>
      <c r="C21" s="12">
        <f t="shared" si="10"/>
        <v>1260</v>
      </c>
      <c r="D21" s="12">
        <f t="shared" si="0"/>
        <v>3240</v>
      </c>
      <c r="E21" s="12">
        <f t="shared" si="18"/>
        <v>810</v>
      </c>
      <c r="F21" s="12">
        <f t="shared" si="1"/>
        <v>1080</v>
      </c>
      <c r="G21" s="12">
        <f t="shared" si="11"/>
        <v>2058.25</v>
      </c>
      <c r="H21" s="13">
        <f t="shared" si="12"/>
        <v>2125.9500000000003</v>
      </c>
      <c r="I21" s="13">
        <f t="shared" si="13"/>
        <v>1785.75</v>
      </c>
      <c r="J21" s="13">
        <f t="shared" si="14"/>
        <v>1560.75</v>
      </c>
      <c r="K21" s="13">
        <f t="shared" si="15"/>
        <v>1652</v>
      </c>
      <c r="L21" s="13">
        <f t="shared" si="16"/>
        <v>1951.150000000001</v>
      </c>
      <c r="M21" s="13">
        <f t="shared" si="17"/>
        <v>1821.94</v>
      </c>
      <c r="N21" s="12">
        <f t="shared" si="2"/>
        <v>1386</v>
      </c>
      <c r="O21" s="12">
        <f t="shared" si="3"/>
        <v>891</v>
      </c>
      <c r="P21" s="12">
        <f t="shared" si="4"/>
        <v>1188</v>
      </c>
      <c r="Q21" s="12">
        <f t="shared" si="5"/>
        <v>4374</v>
      </c>
      <c r="R21" s="13">
        <f t="shared" si="6"/>
        <v>4374</v>
      </c>
      <c r="S21" s="13">
        <f t="shared" si="7"/>
        <v>891</v>
      </c>
      <c r="T21" s="11">
        <f t="shared" si="8"/>
        <v>3483</v>
      </c>
      <c r="U21" s="2"/>
      <c r="V21" s="3"/>
    </row>
    <row r="22" spans="1:22" x14ac:dyDescent="0.3">
      <c r="A22" s="142">
        <v>19</v>
      </c>
      <c r="B22" s="16">
        <f t="shared" si="9"/>
        <v>19</v>
      </c>
      <c r="C22" s="12">
        <f t="shared" si="10"/>
        <v>1330</v>
      </c>
      <c r="D22" s="12">
        <f t="shared" si="0"/>
        <v>3420</v>
      </c>
      <c r="E22" s="12">
        <f t="shared" si="18"/>
        <v>855</v>
      </c>
      <c r="F22" s="12">
        <f t="shared" si="1"/>
        <v>1140</v>
      </c>
      <c r="G22" s="12">
        <f t="shared" si="11"/>
        <v>2172.25</v>
      </c>
      <c r="H22" s="13">
        <f t="shared" si="12"/>
        <v>2243.9100000000003</v>
      </c>
      <c r="I22" s="13">
        <f t="shared" si="13"/>
        <v>1884.75</v>
      </c>
      <c r="J22" s="13">
        <f t="shared" si="14"/>
        <v>1647.25</v>
      </c>
      <c r="K22" s="13">
        <f t="shared" si="15"/>
        <v>1743.5</v>
      </c>
      <c r="L22" s="13">
        <f t="shared" si="16"/>
        <v>2060.0300000000011</v>
      </c>
      <c r="M22" s="13">
        <f t="shared" si="17"/>
        <v>1922.94</v>
      </c>
      <c r="N22" s="12">
        <f t="shared" si="2"/>
        <v>1463</v>
      </c>
      <c r="O22" s="12">
        <f t="shared" si="3"/>
        <v>940.5</v>
      </c>
      <c r="P22" s="12">
        <f t="shared" si="4"/>
        <v>1254</v>
      </c>
      <c r="Q22" s="12">
        <f t="shared" si="5"/>
        <v>4617</v>
      </c>
      <c r="R22" s="13">
        <f t="shared" si="6"/>
        <v>4617</v>
      </c>
      <c r="S22" s="13">
        <f t="shared" si="7"/>
        <v>940.5</v>
      </c>
      <c r="T22" s="11">
        <f t="shared" si="8"/>
        <v>3676.5</v>
      </c>
      <c r="U22" s="2"/>
      <c r="V22" s="3"/>
    </row>
    <row r="23" spans="1:22" x14ac:dyDescent="0.3">
      <c r="A23" s="142">
        <v>20</v>
      </c>
      <c r="B23" s="16">
        <f t="shared" si="9"/>
        <v>20</v>
      </c>
      <c r="C23" s="12">
        <f t="shared" si="10"/>
        <v>1400</v>
      </c>
      <c r="D23" s="12">
        <f t="shared" si="0"/>
        <v>3600</v>
      </c>
      <c r="E23" s="12">
        <f t="shared" si="18"/>
        <v>900</v>
      </c>
      <c r="F23" s="12">
        <f t="shared" si="1"/>
        <v>1200</v>
      </c>
      <c r="G23" s="12">
        <f t="shared" si="11"/>
        <v>2286.25</v>
      </c>
      <c r="H23" s="13">
        <f t="shared" si="12"/>
        <v>2361.8700000000003</v>
      </c>
      <c r="I23" s="13">
        <f t="shared" si="13"/>
        <v>1983.75</v>
      </c>
      <c r="J23" s="13">
        <f t="shared" si="14"/>
        <v>1733.75</v>
      </c>
      <c r="K23" s="13">
        <f t="shared" si="15"/>
        <v>1835</v>
      </c>
      <c r="L23" s="13">
        <f t="shared" si="16"/>
        <v>2168.9100000000012</v>
      </c>
      <c r="M23" s="13">
        <f t="shared" si="17"/>
        <v>2023.94</v>
      </c>
      <c r="N23" s="12">
        <f t="shared" si="2"/>
        <v>1540</v>
      </c>
      <c r="O23" s="12">
        <f t="shared" si="3"/>
        <v>990</v>
      </c>
      <c r="P23" s="12">
        <f t="shared" si="4"/>
        <v>1320</v>
      </c>
      <c r="Q23" s="12">
        <f t="shared" si="5"/>
        <v>4860</v>
      </c>
      <c r="R23" s="13">
        <f t="shared" si="6"/>
        <v>4860</v>
      </c>
      <c r="S23" s="13">
        <f t="shared" si="7"/>
        <v>990</v>
      </c>
      <c r="T23" s="11">
        <f t="shared" si="8"/>
        <v>3870</v>
      </c>
      <c r="U23" s="2"/>
      <c r="V23" s="3"/>
    </row>
    <row r="24" spans="1:22" x14ac:dyDescent="0.3">
      <c r="A24" s="142">
        <v>21</v>
      </c>
      <c r="B24" s="16">
        <f t="shared" si="9"/>
        <v>21</v>
      </c>
      <c r="C24" s="12">
        <f t="shared" si="10"/>
        <v>1470</v>
      </c>
      <c r="D24" s="12">
        <f t="shared" si="0"/>
        <v>3780</v>
      </c>
      <c r="E24" s="12">
        <f t="shared" si="18"/>
        <v>945</v>
      </c>
      <c r="F24" s="12">
        <f t="shared" si="1"/>
        <v>1260</v>
      </c>
      <c r="G24" s="12">
        <f t="shared" si="11"/>
        <v>2400.25</v>
      </c>
      <c r="H24" s="13">
        <f t="shared" si="12"/>
        <v>2479.8300000000004</v>
      </c>
      <c r="I24" s="13">
        <f t="shared" si="13"/>
        <v>2082.75</v>
      </c>
      <c r="J24" s="13">
        <f t="shared" si="14"/>
        <v>1820.25</v>
      </c>
      <c r="K24" s="13">
        <f t="shared" si="15"/>
        <v>1926.5</v>
      </c>
      <c r="L24" s="13">
        <f t="shared" si="16"/>
        <v>2277.7900000000013</v>
      </c>
      <c r="M24" s="13">
        <f t="shared" si="17"/>
        <v>2124.94</v>
      </c>
      <c r="N24" s="12">
        <f t="shared" si="2"/>
        <v>1617</v>
      </c>
      <c r="O24" s="12">
        <f t="shared" si="3"/>
        <v>1039.5</v>
      </c>
      <c r="P24" s="12">
        <f t="shared" si="4"/>
        <v>1386</v>
      </c>
      <c r="Q24" s="12">
        <f t="shared" si="5"/>
        <v>5103</v>
      </c>
      <c r="R24" s="13">
        <f t="shared" si="6"/>
        <v>5103</v>
      </c>
      <c r="S24" s="13">
        <f t="shared" si="7"/>
        <v>1039.5</v>
      </c>
      <c r="T24" s="11">
        <f t="shared" si="8"/>
        <v>4063.5</v>
      </c>
      <c r="U24" s="2"/>
      <c r="V24" s="3"/>
    </row>
    <row r="25" spans="1:22" x14ac:dyDescent="0.3">
      <c r="A25" s="142">
        <v>22</v>
      </c>
      <c r="B25" s="16">
        <f t="shared" si="9"/>
        <v>22</v>
      </c>
      <c r="C25" s="12">
        <f t="shared" si="10"/>
        <v>1540</v>
      </c>
      <c r="D25" s="12">
        <f t="shared" si="0"/>
        <v>3960</v>
      </c>
      <c r="E25" s="12">
        <f t="shared" si="18"/>
        <v>990</v>
      </c>
      <c r="F25" s="12">
        <f t="shared" si="1"/>
        <v>1320</v>
      </c>
      <c r="G25" s="12">
        <f t="shared" si="11"/>
        <v>2514.25</v>
      </c>
      <c r="H25" s="13">
        <f t="shared" si="12"/>
        <v>2597.7900000000004</v>
      </c>
      <c r="I25" s="13">
        <f t="shared" si="13"/>
        <v>2181.75</v>
      </c>
      <c r="J25" s="13">
        <f t="shared" si="14"/>
        <v>1906.75</v>
      </c>
      <c r="K25" s="13">
        <f t="shared" si="15"/>
        <v>2018</v>
      </c>
      <c r="L25" s="13">
        <f t="shared" si="16"/>
        <v>2386.6700000000014</v>
      </c>
      <c r="M25" s="13">
        <f t="shared" si="17"/>
        <v>2225.94</v>
      </c>
      <c r="N25" s="12">
        <f t="shared" si="2"/>
        <v>1694</v>
      </c>
      <c r="O25" s="12">
        <f t="shared" si="3"/>
        <v>1089</v>
      </c>
      <c r="P25" s="12">
        <f t="shared" si="4"/>
        <v>1452</v>
      </c>
      <c r="Q25" s="12">
        <f t="shared" si="5"/>
        <v>5346</v>
      </c>
      <c r="R25" s="13">
        <f t="shared" si="6"/>
        <v>5346</v>
      </c>
      <c r="S25" s="13">
        <f t="shared" si="7"/>
        <v>1089</v>
      </c>
      <c r="T25" s="11">
        <f t="shared" si="8"/>
        <v>4257</v>
      </c>
      <c r="U25" s="2"/>
      <c r="V25" s="3"/>
    </row>
    <row r="26" spans="1:22" x14ac:dyDescent="0.3">
      <c r="A26" s="142">
        <v>23</v>
      </c>
      <c r="B26" s="16">
        <f t="shared" si="9"/>
        <v>23</v>
      </c>
      <c r="C26" s="12">
        <f t="shared" si="10"/>
        <v>1610</v>
      </c>
      <c r="D26" s="12">
        <f t="shared" si="0"/>
        <v>4140</v>
      </c>
      <c r="E26" s="12">
        <f t="shared" si="18"/>
        <v>1035</v>
      </c>
      <c r="F26" s="12">
        <f t="shared" si="1"/>
        <v>1380</v>
      </c>
      <c r="G26" s="12">
        <f t="shared" si="11"/>
        <v>2628.25</v>
      </c>
      <c r="H26" s="13">
        <f t="shared" si="12"/>
        <v>2715.7500000000005</v>
      </c>
      <c r="I26" s="13">
        <f t="shared" si="13"/>
        <v>2280.75</v>
      </c>
      <c r="J26" s="13">
        <f t="shared" si="14"/>
        <v>1993.25</v>
      </c>
      <c r="K26" s="13">
        <f t="shared" si="15"/>
        <v>2109.5</v>
      </c>
      <c r="L26" s="13">
        <f t="shared" si="16"/>
        <v>2495.5500000000015</v>
      </c>
      <c r="M26" s="13">
        <f t="shared" si="17"/>
        <v>2326.94</v>
      </c>
      <c r="N26" s="12">
        <f t="shared" si="2"/>
        <v>1771</v>
      </c>
      <c r="O26" s="12">
        <f t="shared" si="3"/>
        <v>1138.5</v>
      </c>
      <c r="P26" s="12">
        <f t="shared" si="4"/>
        <v>1518</v>
      </c>
      <c r="Q26" s="12">
        <f t="shared" si="5"/>
        <v>5589</v>
      </c>
      <c r="R26" s="13">
        <f t="shared" si="6"/>
        <v>5589</v>
      </c>
      <c r="S26" s="13">
        <f t="shared" si="7"/>
        <v>1138.5</v>
      </c>
      <c r="T26" s="11">
        <f t="shared" si="8"/>
        <v>4450.5</v>
      </c>
      <c r="U26" s="2"/>
      <c r="V26" s="3"/>
    </row>
    <row r="27" spans="1:22" x14ac:dyDescent="0.3">
      <c r="A27" s="142">
        <v>24</v>
      </c>
      <c r="B27" s="16">
        <f t="shared" si="9"/>
        <v>24</v>
      </c>
      <c r="C27" s="12">
        <f t="shared" si="10"/>
        <v>1680</v>
      </c>
      <c r="D27" s="12">
        <f t="shared" si="0"/>
        <v>4320</v>
      </c>
      <c r="E27" s="12">
        <f t="shared" si="18"/>
        <v>1080</v>
      </c>
      <c r="F27" s="12">
        <f t="shared" si="1"/>
        <v>1440</v>
      </c>
      <c r="G27" s="12">
        <f t="shared" si="11"/>
        <v>2742.25</v>
      </c>
      <c r="H27" s="13">
        <f t="shared" si="12"/>
        <v>2833.7100000000005</v>
      </c>
      <c r="I27" s="13">
        <f t="shared" si="13"/>
        <v>2379.75</v>
      </c>
      <c r="J27" s="13">
        <f t="shared" si="14"/>
        <v>2079.75</v>
      </c>
      <c r="K27" s="13">
        <f t="shared" si="15"/>
        <v>2201</v>
      </c>
      <c r="L27" s="13">
        <f t="shared" si="16"/>
        <v>2604.4300000000017</v>
      </c>
      <c r="M27" s="13">
        <f t="shared" si="17"/>
        <v>2427.94</v>
      </c>
      <c r="N27" s="12">
        <f t="shared" si="2"/>
        <v>1848</v>
      </c>
      <c r="O27" s="12">
        <f t="shared" si="3"/>
        <v>1188</v>
      </c>
      <c r="P27" s="12">
        <f t="shared" si="4"/>
        <v>1584</v>
      </c>
      <c r="Q27" s="12">
        <f t="shared" si="5"/>
        <v>5832</v>
      </c>
      <c r="R27" s="13">
        <f t="shared" si="6"/>
        <v>5832</v>
      </c>
      <c r="S27" s="13">
        <f t="shared" si="7"/>
        <v>1188</v>
      </c>
      <c r="T27" s="11">
        <f t="shared" si="8"/>
        <v>4644</v>
      </c>
      <c r="U27" s="2"/>
      <c r="V27" s="3"/>
    </row>
    <row r="28" spans="1:22" x14ac:dyDescent="0.3">
      <c r="A28" s="142">
        <v>25</v>
      </c>
      <c r="B28" s="16">
        <f t="shared" si="9"/>
        <v>25</v>
      </c>
      <c r="C28" s="12">
        <f t="shared" si="10"/>
        <v>1750</v>
      </c>
      <c r="D28" s="12">
        <f t="shared" si="0"/>
        <v>4500</v>
      </c>
      <c r="E28" s="12">
        <f t="shared" si="18"/>
        <v>1125</v>
      </c>
      <c r="F28" s="12">
        <f t="shared" si="1"/>
        <v>1500</v>
      </c>
      <c r="G28" s="12">
        <f t="shared" si="11"/>
        <v>2856.25</v>
      </c>
      <c r="H28" s="13">
        <f t="shared" si="12"/>
        <v>2951.6700000000005</v>
      </c>
      <c r="I28" s="13">
        <f t="shared" si="13"/>
        <v>2478.75</v>
      </c>
      <c r="J28" s="13">
        <f t="shared" si="14"/>
        <v>2166.25</v>
      </c>
      <c r="K28" s="13">
        <f t="shared" si="15"/>
        <v>2292.5</v>
      </c>
      <c r="L28" s="13">
        <f t="shared" si="16"/>
        <v>2713.3100000000018</v>
      </c>
      <c r="M28" s="13">
        <f t="shared" si="17"/>
        <v>2528.94</v>
      </c>
      <c r="N28" s="12">
        <f t="shared" si="2"/>
        <v>1925</v>
      </c>
      <c r="O28" s="12">
        <f t="shared" si="3"/>
        <v>1237.5</v>
      </c>
      <c r="P28" s="12">
        <f t="shared" si="4"/>
        <v>1650</v>
      </c>
      <c r="Q28" s="12">
        <f t="shared" si="5"/>
        <v>6075</v>
      </c>
      <c r="R28" s="13">
        <f t="shared" si="6"/>
        <v>6075</v>
      </c>
      <c r="S28" s="13">
        <f t="shared" si="7"/>
        <v>1237.5</v>
      </c>
      <c r="T28" s="11">
        <f t="shared" si="8"/>
        <v>4837.5</v>
      </c>
      <c r="U28" s="2"/>
      <c r="V28" s="3"/>
    </row>
    <row r="29" spans="1:22" x14ac:dyDescent="0.3">
      <c r="A29" s="142">
        <v>26</v>
      </c>
      <c r="B29" s="16">
        <f t="shared" si="9"/>
        <v>26</v>
      </c>
      <c r="C29" s="12">
        <f t="shared" si="10"/>
        <v>1820</v>
      </c>
      <c r="D29" s="12">
        <f t="shared" si="0"/>
        <v>4680</v>
      </c>
      <c r="E29" s="12">
        <f t="shared" si="18"/>
        <v>1170</v>
      </c>
      <c r="F29" s="12">
        <f t="shared" si="1"/>
        <v>1560</v>
      </c>
      <c r="G29" s="12">
        <f t="shared" si="11"/>
        <v>2970.25</v>
      </c>
      <c r="H29" s="13">
        <f t="shared" si="12"/>
        <v>3069.6300000000006</v>
      </c>
      <c r="I29" s="13">
        <f t="shared" si="13"/>
        <v>2577.75</v>
      </c>
      <c r="J29" s="13">
        <f t="shared" si="14"/>
        <v>2252.75</v>
      </c>
      <c r="K29" s="13">
        <f t="shared" si="15"/>
        <v>2384</v>
      </c>
      <c r="L29" s="13">
        <f t="shared" si="16"/>
        <v>2822.1900000000019</v>
      </c>
      <c r="M29" s="13">
        <f t="shared" si="17"/>
        <v>2629.94</v>
      </c>
      <c r="N29" s="12">
        <f t="shared" si="2"/>
        <v>2002</v>
      </c>
      <c r="O29" s="12">
        <f t="shared" si="3"/>
        <v>1287</v>
      </c>
      <c r="P29" s="12">
        <f t="shared" si="4"/>
        <v>1716</v>
      </c>
      <c r="Q29" s="12">
        <f t="shared" si="5"/>
        <v>6318</v>
      </c>
      <c r="R29" s="13">
        <f t="shared" si="6"/>
        <v>6318</v>
      </c>
      <c r="S29" s="13">
        <f t="shared" si="7"/>
        <v>1287</v>
      </c>
      <c r="T29" s="11">
        <f t="shared" si="8"/>
        <v>5031</v>
      </c>
      <c r="U29" s="2"/>
      <c r="V29" s="3"/>
    </row>
    <row r="30" spans="1:22" x14ac:dyDescent="0.3">
      <c r="A30" s="142">
        <v>27</v>
      </c>
      <c r="B30" s="16">
        <f t="shared" si="9"/>
        <v>27</v>
      </c>
      <c r="C30" s="12">
        <f t="shared" si="10"/>
        <v>1890</v>
      </c>
      <c r="D30" s="12">
        <f t="shared" si="0"/>
        <v>4860</v>
      </c>
      <c r="E30" s="12">
        <f t="shared" si="18"/>
        <v>1215</v>
      </c>
      <c r="F30" s="12">
        <f t="shared" si="1"/>
        <v>1620</v>
      </c>
      <c r="G30" s="12">
        <f t="shared" si="11"/>
        <v>3084.25</v>
      </c>
      <c r="H30" s="13">
        <f t="shared" si="12"/>
        <v>3187.5900000000006</v>
      </c>
      <c r="I30" s="13">
        <f t="shared" si="13"/>
        <v>2676.75</v>
      </c>
      <c r="J30" s="13">
        <f t="shared" si="14"/>
        <v>2339.25</v>
      </c>
      <c r="K30" s="13">
        <f t="shared" si="15"/>
        <v>2475.5</v>
      </c>
      <c r="L30" s="13">
        <f t="shared" si="16"/>
        <v>2931.070000000002</v>
      </c>
      <c r="M30" s="13">
        <f t="shared" si="17"/>
        <v>2730.94</v>
      </c>
      <c r="N30" s="12">
        <f t="shared" si="2"/>
        <v>2079</v>
      </c>
      <c r="O30" s="12">
        <f t="shared" si="3"/>
        <v>1336.5</v>
      </c>
      <c r="P30" s="12">
        <f t="shared" si="4"/>
        <v>1782</v>
      </c>
      <c r="Q30" s="12">
        <f t="shared" si="5"/>
        <v>6561</v>
      </c>
      <c r="R30" s="13">
        <f t="shared" si="6"/>
        <v>6561</v>
      </c>
      <c r="S30" s="13">
        <f t="shared" si="7"/>
        <v>1336.5</v>
      </c>
      <c r="T30" s="11">
        <f t="shared" si="8"/>
        <v>5224.5</v>
      </c>
      <c r="U30" s="2"/>
      <c r="V30" s="3"/>
    </row>
    <row r="31" spans="1:22" x14ac:dyDescent="0.3">
      <c r="A31" s="142">
        <v>28</v>
      </c>
      <c r="B31" s="16">
        <f t="shared" si="9"/>
        <v>28</v>
      </c>
      <c r="C31" s="12">
        <f t="shared" si="10"/>
        <v>1960</v>
      </c>
      <c r="D31" s="12">
        <f t="shared" si="0"/>
        <v>5040</v>
      </c>
      <c r="E31" s="12">
        <f t="shared" si="18"/>
        <v>1260</v>
      </c>
      <c r="F31" s="12">
        <f t="shared" si="1"/>
        <v>1680</v>
      </c>
      <c r="G31" s="12">
        <f t="shared" si="11"/>
        <v>3198.25</v>
      </c>
      <c r="H31" s="13">
        <f t="shared" si="12"/>
        <v>3305.5500000000006</v>
      </c>
      <c r="I31" s="13">
        <f t="shared" si="13"/>
        <v>2775.75</v>
      </c>
      <c r="J31" s="13">
        <f t="shared" si="14"/>
        <v>2425.75</v>
      </c>
      <c r="K31" s="13">
        <f t="shared" si="15"/>
        <v>2567</v>
      </c>
      <c r="L31" s="13">
        <f t="shared" si="16"/>
        <v>3039.9500000000021</v>
      </c>
      <c r="M31" s="13">
        <f t="shared" si="17"/>
        <v>2831.94</v>
      </c>
      <c r="N31" s="12">
        <f t="shared" si="2"/>
        <v>2156</v>
      </c>
      <c r="O31" s="12">
        <f t="shared" si="3"/>
        <v>1386</v>
      </c>
      <c r="P31" s="12">
        <f t="shared" si="4"/>
        <v>1848</v>
      </c>
      <c r="Q31" s="12">
        <f t="shared" si="5"/>
        <v>6804</v>
      </c>
      <c r="R31" s="13">
        <f t="shared" si="6"/>
        <v>6804</v>
      </c>
      <c r="S31" s="13">
        <f t="shared" si="7"/>
        <v>1386</v>
      </c>
      <c r="T31" s="11">
        <f t="shared" si="8"/>
        <v>5418</v>
      </c>
      <c r="U31" s="2"/>
      <c r="V31" s="3"/>
    </row>
    <row r="32" spans="1:22" x14ac:dyDescent="0.3">
      <c r="A32" s="142">
        <v>29</v>
      </c>
      <c r="B32" s="16">
        <f t="shared" si="9"/>
        <v>29</v>
      </c>
      <c r="C32" s="12">
        <f t="shared" si="10"/>
        <v>2030</v>
      </c>
      <c r="D32" s="12">
        <f t="shared" si="0"/>
        <v>5220</v>
      </c>
      <c r="E32" s="12">
        <f t="shared" si="18"/>
        <v>1305</v>
      </c>
      <c r="F32" s="12">
        <f t="shared" si="1"/>
        <v>1740</v>
      </c>
      <c r="G32" s="12">
        <f t="shared" si="11"/>
        <v>3312.25</v>
      </c>
      <c r="H32" s="13">
        <f t="shared" si="12"/>
        <v>3423.5100000000007</v>
      </c>
      <c r="I32" s="13">
        <f t="shared" si="13"/>
        <v>2874.75</v>
      </c>
      <c r="J32" s="13">
        <f t="shared" si="14"/>
        <v>2512.25</v>
      </c>
      <c r="K32" s="13">
        <f t="shared" si="15"/>
        <v>2658.5</v>
      </c>
      <c r="L32" s="13">
        <f t="shared" si="16"/>
        <v>3148.8300000000022</v>
      </c>
      <c r="M32" s="13">
        <f t="shared" si="17"/>
        <v>2932.94</v>
      </c>
      <c r="N32" s="12">
        <f t="shared" si="2"/>
        <v>2233</v>
      </c>
      <c r="O32" s="12">
        <f t="shared" si="3"/>
        <v>1435.5</v>
      </c>
      <c r="P32" s="12">
        <f t="shared" si="4"/>
        <v>1914</v>
      </c>
      <c r="Q32" s="12">
        <f t="shared" si="5"/>
        <v>7047</v>
      </c>
      <c r="R32" s="13">
        <f t="shared" si="6"/>
        <v>7047</v>
      </c>
      <c r="S32" s="13">
        <f t="shared" si="7"/>
        <v>1435.5</v>
      </c>
      <c r="T32" s="11">
        <f t="shared" si="8"/>
        <v>5611.5</v>
      </c>
      <c r="U32" s="2"/>
      <c r="V32" s="3"/>
    </row>
    <row r="33" spans="1:22" x14ac:dyDescent="0.3">
      <c r="A33" s="142">
        <v>30</v>
      </c>
      <c r="B33" s="16">
        <f t="shared" si="9"/>
        <v>30</v>
      </c>
      <c r="C33" s="12">
        <f t="shared" si="10"/>
        <v>2100</v>
      </c>
      <c r="D33" s="12">
        <f t="shared" si="0"/>
        <v>5400</v>
      </c>
      <c r="E33" s="12">
        <f t="shared" si="18"/>
        <v>1350</v>
      </c>
      <c r="F33" s="12">
        <f t="shared" si="1"/>
        <v>1800</v>
      </c>
      <c r="G33" s="12">
        <f t="shared" si="11"/>
        <v>3426.25</v>
      </c>
      <c r="H33" s="13">
        <f t="shared" si="12"/>
        <v>3541.4700000000007</v>
      </c>
      <c r="I33" s="13">
        <f t="shared" si="13"/>
        <v>2973.75</v>
      </c>
      <c r="J33" s="13">
        <f t="shared" si="14"/>
        <v>2598.75</v>
      </c>
      <c r="K33" s="13">
        <f t="shared" si="15"/>
        <v>2750</v>
      </c>
      <c r="L33" s="13">
        <f t="shared" si="16"/>
        <v>3257.7100000000023</v>
      </c>
      <c r="M33" s="13">
        <f t="shared" si="17"/>
        <v>3033.94</v>
      </c>
      <c r="N33" s="12">
        <f t="shared" si="2"/>
        <v>2310</v>
      </c>
      <c r="O33" s="12">
        <f t="shared" si="3"/>
        <v>1485</v>
      </c>
      <c r="P33" s="12">
        <f t="shared" si="4"/>
        <v>1980</v>
      </c>
      <c r="Q33" s="12">
        <f t="shared" si="5"/>
        <v>7290</v>
      </c>
      <c r="R33" s="13">
        <f t="shared" si="6"/>
        <v>7290</v>
      </c>
      <c r="S33" s="13">
        <f t="shared" si="7"/>
        <v>1485</v>
      </c>
      <c r="T33" s="11">
        <f t="shared" si="8"/>
        <v>5805</v>
      </c>
      <c r="U33" s="2"/>
      <c r="V33" s="3"/>
    </row>
    <row r="34" spans="1:22" x14ac:dyDescent="0.3">
      <c r="A34" s="142">
        <v>31</v>
      </c>
      <c r="B34" s="16">
        <f t="shared" si="9"/>
        <v>31</v>
      </c>
      <c r="C34" s="12">
        <f t="shared" si="10"/>
        <v>2170</v>
      </c>
      <c r="D34" s="12">
        <f t="shared" si="0"/>
        <v>5580</v>
      </c>
      <c r="E34" s="12">
        <f t="shared" si="18"/>
        <v>1395</v>
      </c>
      <c r="F34" s="12">
        <f t="shared" si="1"/>
        <v>1860</v>
      </c>
      <c r="G34" s="12">
        <f t="shared" si="11"/>
        <v>3540.25</v>
      </c>
      <c r="H34" s="13">
        <f t="shared" si="12"/>
        <v>3659.4300000000007</v>
      </c>
      <c r="I34" s="13">
        <f t="shared" si="13"/>
        <v>3072.75</v>
      </c>
      <c r="J34" s="13">
        <f t="shared" si="14"/>
        <v>2685.25</v>
      </c>
      <c r="K34" s="13">
        <f t="shared" si="15"/>
        <v>2841.5</v>
      </c>
      <c r="L34" s="13">
        <f t="shared" si="16"/>
        <v>3366.5900000000024</v>
      </c>
      <c r="M34" s="13">
        <f t="shared" si="17"/>
        <v>3134.94</v>
      </c>
      <c r="N34" s="12">
        <f t="shared" si="2"/>
        <v>2387</v>
      </c>
      <c r="O34" s="12">
        <f t="shared" si="3"/>
        <v>1534.5</v>
      </c>
      <c r="P34" s="12">
        <f t="shared" si="4"/>
        <v>2046</v>
      </c>
      <c r="Q34" s="12">
        <f t="shared" si="5"/>
        <v>7533</v>
      </c>
      <c r="R34" s="13">
        <f t="shared" si="6"/>
        <v>7533</v>
      </c>
      <c r="S34" s="13">
        <f t="shared" si="7"/>
        <v>1534.5</v>
      </c>
      <c r="T34" s="11">
        <f t="shared" si="8"/>
        <v>5998.5</v>
      </c>
      <c r="U34" s="2"/>
      <c r="V34" s="3"/>
    </row>
    <row r="35" spans="1:22" x14ac:dyDescent="0.3">
      <c r="A35" s="142">
        <v>32</v>
      </c>
      <c r="B35" s="16">
        <f t="shared" si="9"/>
        <v>32</v>
      </c>
      <c r="C35" s="12">
        <f t="shared" si="10"/>
        <v>2240</v>
      </c>
      <c r="D35" s="12">
        <f t="shared" si="0"/>
        <v>5760</v>
      </c>
      <c r="E35" s="12">
        <f t="shared" si="18"/>
        <v>1440</v>
      </c>
      <c r="F35" s="12">
        <f t="shared" si="1"/>
        <v>1920</v>
      </c>
      <c r="G35" s="12">
        <f t="shared" si="11"/>
        <v>3654.25</v>
      </c>
      <c r="H35" s="13">
        <f t="shared" si="12"/>
        <v>3777.3900000000008</v>
      </c>
      <c r="I35" s="13">
        <f t="shared" si="13"/>
        <v>3171.75</v>
      </c>
      <c r="J35" s="13">
        <f t="shared" si="14"/>
        <v>2771.75</v>
      </c>
      <c r="K35" s="13">
        <f t="shared" si="15"/>
        <v>2933</v>
      </c>
      <c r="L35" s="13">
        <f t="shared" si="16"/>
        <v>3475.4700000000025</v>
      </c>
      <c r="M35" s="13">
        <f t="shared" si="17"/>
        <v>3235.94</v>
      </c>
      <c r="N35" s="12">
        <f t="shared" si="2"/>
        <v>2464</v>
      </c>
      <c r="O35" s="12">
        <f t="shared" si="3"/>
        <v>1584</v>
      </c>
      <c r="P35" s="12">
        <f t="shared" si="4"/>
        <v>2112</v>
      </c>
      <c r="Q35" s="12">
        <f t="shared" si="5"/>
        <v>7776</v>
      </c>
      <c r="R35" s="13">
        <f t="shared" si="6"/>
        <v>7776</v>
      </c>
      <c r="S35" s="13">
        <f t="shared" si="7"/>
        <v>1584</v>
      </c>
      <c r="T35" s="11">
        <f t="shared" si="8"/>
        <v>6192</v>
      </c>
      <c r="U35" s="2"/>
      <c r="V35" s="3"/>
    </row>
    <row r="36" spans="1:22" x14ac:dyDescent="0.3">
      <c r="A36" s="142">
        <v>33</v>
      </c>
      <c r="B36" s="16">
        <f t="shared" si="9"/>
        <v>33</v>
      </c>
      <c r="C36" s="12">
        <f t="shared" si="10"/>
        <v>2310</v>
      </c>
      <c r="D36" s="12">
        <f t="shared" si="0"/>
        <v>5940</v>
      </c>
      <c r="E36" s="12">
        <f t="shared" si="18"/>
        <v>1485</v>
      </c>
      <c r="F36" s="12">
        <f t="shared" si="1"/>
        <v>1980</v>
      </c>
      <c r="G36" s="12">
        <f t="shared" si="11"/>
        <v>3768.25</v>
      </c>
      <c r="H36" s="13">
        <f t="shared" si="12"/>
        <v>3895.3500000000008</v>
      </c>
      <c r="I36" s="13">
        <f t="shared" si="13"/>
        <v>3270.75</v>
      </c>
      <c r="J36" s="13">
        <f t="shared" si="14"/>
        <v>2858.25</v>
      </c>
      <c r="K36" s="13">
        <f t="shared" si="15"/>
        <v>3024.5</v>
      </c>
      <c r="L36" s="13">
        <f t="shared" si="16"/>
        <v>3584.3500000000026</v>
      </c>
      <c r="M36" s="13">
        <f t="shared" si="17"/>
        <v>3336.94</v>
      </c>
      <c r="N36" s="12">
        <f t="shared" ref="N36:N53" si="19">C36 + $N$3*C36</f>
        <v>2541</v>
      </c>
      <c r="O36" s="12">
        <f t="shared" ref="O36:O53" si="20">E36 + $O$3*E36</f>
        <v>1633.5</v>
      </c>
      <c r="P36" s="12">
        <f t="shared" ref="P36:P53" si="21">F36 + $P$3*F36</f>
        <v>2178</v>
      </c>
      <c r="Q36" s="12">
        <f t="shared" ref="Q36:Q53" si="22">D36 + $Q$3*D36</f>
        <v>8019</v>
      </c>
      <c r="R36" s="13">
        <f t="shared" si="6"/>
        <v>8019</v>
      </c>
      <c r="S36" s="13">
        <f t="shared" si="7"/>
        <v>1633.5</v>
      </c>
      <c r="T36" s="11">
        <f t="shared" si="8"/>
        <v>6385.5</v>
      </c>
      <c r="U36" s="2"/>
      <c r="V36" s="3"/>
    </row>
    <row r="37" spans="1:22" x14ac:dyDescent="0.3">
      <c r="A37" s="142">
        <v>34</v>
      </c>
      <c r="B37" s="16">
        <f t="shared" si="9"/>
        <v>34</v>
      </c>
      <c r="C37" s="12">
        <f t="shared" si="10"/>
        <v>2380</v>
      </c>
      <c r="D37" s="12">
        <f t="shared" si="0"/>
        <v>6120</v>
      </c>
      <c r="E37" s="12">
        <f t="shared" si="18"/>
        <v>1530</v>
      </c>
      <c r="F37" s="12">
        <f t="shared" si="1"/>
        <v>2040</v>
      </c>
      <c r="G37" s="12">
        <f t="shared" si="11"/>
        <v>3882.25</v>
      </c>
      <c r="H37" s="13">
        <f t="shared" si="12"/>
        <v>4013.3100000000009</v>
      </c>
      <c r="I37" s="13">
        <f t="shared" si="13"/>
        <v>3369.75</v>
      </c>
      <c r="J37" s="13">
        <f t="shared" si="14"/>
        <v>2944.75</v>
      </c>
      <c r="K37" s="13">
        <f t="shared" si="15"/>
        <v>3116</v>
      </c>
      <c r="L37" s="13">
        <f t="shared" si="16"/>
        <v>3693.2300000000027</v>
      </c>
      <c r="M37" s="13">
        <f t="shared" si="17"/>
        <v>3437.94</v>
      </c>
      <c r="N37" s="12">
        <f t="shared" si="19"/>
        <v>2618</v>
      </c>
      <c r="O37" s="12">
        <f t="shared" si="20"/>
        <v>1683</v>
      </c>
      <c r="P37" s="12">
        <f t="shared" si="21"/>
        <v>2244</v>
      </c>
      <c r="Q37" s="12">
        <f t="shared" si="22"/>
        <v>8262</v>
      </c>
      <c r="R37" s="13">
        <f t="shared" ref="R37:R53" si="23">MAX(N37, Q37, G37:L37)</f>
        <v>8262</v>
      </c>
      <c r="S37" s="13">
        <f t="shared" ref="S37:S53" si="24">MIN(N37, Q37, G37:Q37)</f>
        <v>1683</v>
      </c>
      <c r="T37" s="11">
        <f t="shared" si="8"/>
        <v>6579</v>
      </c>
      <c r="U37" s="2"/>
      <c r="V37" s="3"/>
    </row>
    <row r="38" spans="1:22" x14ac:dyDescent="0.3">
      <c r="A38" s="142">
        <v>35</v>
      </c>
      <c r="B38" s="16">
        <f t="shared" si="9"/>
        <v>35</v>
      </c>
      <c r="C38" s="12">
        <f t="shared" si="10"/>
        <v>2450</v>
      </c>
      <c r="D38" s="12">
        <f t="shared" si="0"/>
        <v>6300</v>
      </c>
      <c r="E38" s="12">
        <f t="shared" si="18"/>
        <v>1575</v>
      </c>
      <c r="F38" s="12">
        <f t="shared" si="1"/>
        <v>2100</v>
      </c>
      <c r="G38" s="12">
        <f t="shared" si="11"/>
        <v>3996.25</v>
      </c>
      <c r="H38" s="13">
        <f t="shared" si="12"/>
        <v>4131.2700000000004</v>
      </c>
      <c r="I38" s="13">
        <f t="shared" si="13"/>
        <v>3468.75</v>
      </c>
      <c r="J38" s="13">
        <f t="shared" si="14"/>
        <v>3031.25</v>
      </c>
      <c r="K38" s="13">
        <f t="shared" si="15"/>
        <v>3207.5</v>
      </c>
      <c r="L38" s="13">
        <f t="shared" si="16"/>
        <v>3802.1100000000029</v>
      </c>
      <c r="M38" s="13">
        <f t="shared" si="17"/>
        <v>3538.94</v>
      </c>
      <c r="N38" s="12">
        <f t="shared" si="19"/>
        <v>2695</v>
      </c>
      <c r="O38" s="12">
        <f t="shared" si="20"/>
        <v>1732.5</v>
      </c>
      <c r="P38" s="12">
        <f t="shared" si="21"/>
        <v>2310</v>
      </c>
      <c r="Q38" s="12">
        <f t="shared" si="22"/>
        <v>8505</v>
      </c>
      <c r="R38" s="13">
        <f t="shared" si="23"/>
        <v>8505</v>
      </c>
      <c r="S38" s="13">
        <f t="shared" si="24"/>
        <v>1732.5</v>
      </c>
      <c r="T38" s="11">
        <f t="shared" si="8"/>
        <v>6772.5</v>
      </c>
      <c r="U38" s="2"/>
      <c r="V38" s="3"/>
    </row>
    <row r="39" spans="1:22" x14ac:dyDescent="0.3">
      <c r="A39" s="142">
        <v>36</v>
      </c>
      <c r="B39" s="16">
        <f t="shared" si="9"/>
        <v>36</v>
      </c>
      <c r="C39" s="12">
        <f t="shared" si="10"/>
        <v>2520</v>
      </c>
      <c r="D39" s="12">
        <f t="shared" si="0"/>
        <v>6480</v>
      </c>
      <c r="E39" s="12">
        <f t="shared" si="18"/>
        <v>1620</v>
      </c>
      <c r="F39" s="12">
        <f t="shared" si="1"/>
        <v>2160</v>
      </c>
      <c r="G39" s="12">
        <f t="shared" si="11"/>
        <v>4110.25</v>
      </c>
      <c r="H39" s="13">
        <f t="shared" si="12"/>
        <v>4249.2300000000005</v>
      </c>
      <c r="I39" s="13">
        <f t="shared" si="13"/>
        <v>3567.75</v>
      </c>
      <c r="J39" s="13">
        <f t="shared" si="14"/>
        <v>3117.75</v>
      </c>
      <c r="K39" s="13">
        <f t="shared" si="15"/>
        <v>3299</v>
      </c>
      <c r="L39" s="13">
        <f t="shared" si="16"/>
        <v>3910.990000000003</v>
      </c>
      <c r="M39" s="13">
        <f t="shared" si="17"/>
        <v>3639.94</v>
      </c>
      <c r="N39" s="12">
        <f t="shared" si="19"/>
        <v>2772</v>
      </c>
      <c r="O39" s="12">
        <f t="shared" si="20"/>
        <v>1782</v>
      </c>
      <c r="P39" s="12">
        <f t="shared" si="21"/>
        <v>2376</v>
      </c>
      <c r="Q39" s="12">
        <f t="shared" si="22"/>
        <v>8748</v>
      </c>
      <c r="R39" s="13">
        <f t="shared" si="23"/>
        <v>8748</v>
      </c>
      <c r="S39" s="13">
        <f t="shared" si="24"/>
        <v>1782</v>
      </c>
      <c r="T39" s="11">
        <f t="shared" si="8"/>
        <v>6966</v>
      </c>
      <c r="U39" s="2"/>
      <c r="V39" s="3"/>
    </row>
    <row r="40" spans="1:22" x14ac:dyDescent="0.3">
      <c r="A40" s="142">
        <v>37</v>
      </c>
      <c r="B40" s="16">
        <f t="shared" si="9"/>
        <v>37</v>
      </c>
      <c r="C40" s="12">
        <f t="shared" si="10"/>
        <v>2590</v>
      </c>
      <c r="D40" s="12">
        <f t="shared" si="0"/>
        <v>6660</v>
      </c>
      <c r="E40" s="12">
        <f t="shared" si="18"/>
        <v>1665</v>
      </c>
      <c r="F40" s="12">
        <f t="shared" si="1"/>
        <v>2220</v>
      </c>
      <c r="G40" s="12">
        <f t="shared" si="11"/>
        <v>4224.25</v>
      </c>
      <c r="H40" s="13">
        <f t="shared" si="12"/>
        <v>4367.1900000000005</v>
      </c>
      <c r="I40" s="13">
        <f t="shared" si="13"/>
        <v>3666.75</v>
      </c>
      <c r="J40" s="13">
        <f t="shared" si="14"/>
        <v>3204.25</v>
      </c>
      <c r="K40" s="13">
        <f t="shared" si="15"/>
        <v>3390.5</v>
      </c>
      <c r="L40" s="13">
        <f t="shared" si="16"/>
        <v>4019.8700000000031</v>
      </c>
      <c r="M40" s="13">
        <f t="shared" si="17"/>
        <v>3740.94</v>
      </c>
      <c r="N40" s="12">
        <f t="shared" si="19"/>
        <v>2849</v>
      </c>
      <c r="O40" s="12">
        <f t="shared" si="20"/>
        <v>1831.5</v>
      </c>
      <c r="P40" s="12">
        <f t="shared" si="21"/>
        <v>2442</v>
      </c>
      <c r="Q40" s="12">
        <f t="shared" si="22"/>
        <v>8991</v>
      </c>
      <c r="R40" s="13">
        <f t="shared" si="23"/>
        <v>8991</v>
      </c>
      <c r="S40" s="13">
        <f t="shared" si="24"/>
        <v>1831.5</v>
      </c>
      <c r="T40" s="11">
        <f t="shared" si="8"/>
        <v>7159.5</v>
      </c>
      <c r="U40" s="2"/>
      <c r="V40" s="3"/>
    </row>
    <row r="41" spans="1:22" x14ac:dyDescent="0.3">
      <c r="A41" s="142">
        <v>38</v>
      </c>
      <c r="B41" s="16">
        <f t="shared" si="9"/>
        <v>38</v>
      </c>
      <c r="C41" s="12">
        <f t="shared" si="10"/>
        <v>2660</v>
      </c>
      <c r="D41" s="12">
        <f t="shared" si="0"/>
        <v>6840</v>
      </c>
      <c r="E41" s="12">
        <f t="shared" si="18"/>
        <v>1710</v>
      </c>
      <c r="F41" s="12">
        <f t="shared" si="1"/>
        <v>2280</v>
      </c>
      <c r="G41" s="12">
        <f t="shared" si="11"/>
        <v>4338.25</v>
      </c>
      <c r="H41" s="13">
        <f t="shared" si="12"/>
        <v>4485.1500000000005</v>
      </c>
      <c r="I41" s="13">
        <f t="shared" si="13"/>
        <v>3765.75</v>
      </c>
      <c r="J41" s="13">
        <f t="shared" si="14"/>
        <v>3290.75</v>
      </c>
      <c r="K41" s="13">
        <f t="shared" si="15"/>
        <v>3482</v>
      </c>
      <c r="L41" s="13">
        <f t="shared" si="16"/>
        <v>4128.7500000000027</v>
      </c>
      <c r="M41" s="13">
        <f t="shared" si="17"/>
        <v>3841.94</v>
      </c>
      <c r="N41" s="12">
        <f t="shared" si="19"/>
        <v>2926</v>
      </c>
      <c r="O41" s="12">
        <f t="shared" si="20"/>
        <v>1881</v>
      </c>
      <c r="P41" s="12">
        <f t="shared" si="21"/>
        <v>2508</v>
      </c>
      <c r="Q41" s="12">
        <f t="shared" si="22"/>
        <v>9234</v>
      </c>
      <c r="R41" s="13">
        <f t="shared" si="23"/>
        <v>9234</v>
      </c>
      <c r="S41" s="13">
        <f t="shared" si="24"/>
        <v>1881</v>
      </c>
      <c r="T41" s="11">
        <f t="shared" si="8"/>
        <v>7353</v>
      </c>
      <c r="U41" s="2"/>
      <c r="V41" s="3"/>
    </row>
    <row r="42" spans="1:22" x14ac:dyDescent="0.3">
      <c r="A42" s="142">
        <v>39</v>
      </c>
      <c r="B42" s="16">
        <f t="shared" si="9"/>
        <v>39</v>
      </c>
      <c r="C42" s="12">
        <f t="shared" si="10"/>
        <v>2730</v>
      </c>
      <c r="D42" s="12">
        <f t="shared" si="0"/>
        <v>7020</v>
      </c>
      <c r="E42" s="12">
        <f t="shared" si="18"/>
        <v>1755</v>
      </c>
      <c r="F42" s="12">
        <f t="shared" si="1"/>
        <v>2340</v>
      </c>
      <c r="G42" s="12">
        <f t="shared" si="11"/>
        <v>4452.25</v>
      </c>
      <c r="H42" s="13">
        <f t="shared" si="12"/>
        <v>4603.1100000000006</v>
      </c>
      <c r="I42" s="13">
        <f t="shared" si="13"/>
        <v>3864.75</v>
      </c>
      <c r="J42" s="13">
        <f t="shared" si="14"/>
        <v>3377.25</v>
      </c>
      <c r="K42" s="13">
        <f t="shared" si="15"/>
        <v>3573.5</v>
      </c>
      <c r="L42" s="13">
        <f t="shared" si="16"/>
        <v>4237.6300000000028</v>
      </c>
      <c r="M42" s="13">
        <f t="shared" si="17"/>
        <v>3942.94</v>
      </c>
      <c r="N42" s="12">
        <f t="shared" si="19"/>
        <v>3003</v>
      </c>
      <c r="O42" s="12">
        <f t="shared" si="20"/>
        <v>1930.5</v>
      </c>
      <c r="P42" s="12">
        <f t="shared" si="21"/>
        <v>2574</v>
      </c>
      <c r="Q42" s="12">
        <f t="shared" si="22"/>
        <v>9477</v>
      </c>
      <c r="R42" s="13">
        <f t="shared" si="23"/>
        <v>9477</v>
      </c>
      <c r="S42" s="13">
        <f t="shared" si="24"/>
        <v>1930.5</v>
      </c>
      <c r="T42" s="11">
        <f t="shared" si="8"/>
        <v>7546.5</v>
      </c>
      <c r="U42" s="2"/>
      <c r="V42" s="3"/>
    </row>
    <row r="43" spans="1:22" x14ac:dyDescent="0.3">
      <c r="A43" s="142">
        <v>40</v>
      </c>
      <c r="B43" s="16">
        <f t="shared" si="9"/>
        <v>40</v>
      </c>
      <c r="C43" s="12">
        <f t="shared" si="10"/>
        <v>2800</v>
      </c>
      <c r="D43" s="12">
        <f t="shared" si="0"/>
        <v>7200</v>
      </c>
      <c r="E43" s="12">
        <f t="shared" si="18"/>
        <v>1800</v>
      </c>
      <c r="F43" s="12">
        <f t="shared" si="1"/>
        <v>2400</v>
      </c>
      <c r="G43" s="12">
        <f t="shared" si="11"/>
        <v>4566.25</v>
      </c>
      <c r="H43" s="13">
        <f t="shared" si="12"/>
        <v>4721.0700000000006</v>
      </c>
      <c r="I43" s="13">
        <f t="shared" si="13"/>
        <v>3963.75</v>
      </c>
      <c r="J43" s="13">
        <f t="shared" si="14"/>
        <v>3463.75</v>
      </c>
      <c r="K43" s="13">
        <f t="shared" si="15"/>
        <v>3665</v>
      </c>
      <c r="L43" s="13">
        <f t="shared" si="16"/>
        <v>4346.5100000000029</v>
      </c>
      <c r="M43" s="13">
        <f t="shared" si="17"/>
        <v>4043.94</v>
      </c>
      <c r="N43" s="12">
        <f t="shared" si="19"/>
        <v>3080</v>
      </c>
      <c r="O43" s="12">
        <f t="shared" si="20"/>
        <v>1980</v>
      </c>
      <c r="P43" s="12">
        <f t="shared" si="21"/>
        <v>2640</v>
      </c>
      <c r="Q43" s="12">
        <f t="shared" si="22"/>
        <v>9720</v>
      </c>
      <c r="R43" s="13">
        <f t="shared" si="23"/>
        <v>9720</v>
      </c>
      <c r="S43" s="13">
        <f t="shared" si="24"/>
        <v>1980</v>
      </c>
      <c r="T43" s="11">
        <f t="shared" si="8"/>
        <v>7740</v>
      </c>
      <c r="U43" s="2"/>
      <c r="V43" s="3"/>
    </row>
    <row r="44" spans="1:22" x14ac:dyDescent="0.3">
      <c r="A44" s="142">
        <v>41</v>
      </c>
      <c r="B44" s="16">
        <f t="shared" si="9"/>
        <v>41</v>
      </c>
      <c r="C44" s="12">
        <f t="shared" si="10"/>
        <v>2870</v>
      </c>
      <c r="D44" s="12">
        <f t="shared" si="0"/>
        <v>7380</v>
      </c>
      <c r="E44" s="12">
        <f t="shared" si="18"/>
        <v>1845</v>
      </c>
      <c r="F44" s="12">
        <f t="shared" si="1"/>
        <v>2460</v>
      </c>
      <c r="G44" s="12">
        <f t="shared" si="11"/>
        <v>4680.25</v>
      </c>
      <c r="H44" s="13">
        <f t="shared" si="12"/>
        <v>4839.0300000000007</v>
      </c>
      <c r="I44" s="13">
        <f t="shared" si="13"/>
        <v>4062.75</v>
      </c>
      <c r="J44" s="13">
        <f t="shared" si="14"/>
        <v>3550.25</v>
      </c>
      <c r="K44" s="13">
        <f t="shared" si="15"/>
        <v>3756.5</v>
      </c>
      <c r="L44" s="13">
        <f t="shared" si="16"/>
        <v>4455.3900000000031</v>
      </c>
      <c r="M44" s="13">
        <f t="shared" si="17"/>
        <v>4144.9400000000005</v>
      </c>
      <c r="N44" s="12">
        <f t="shared" si="19"/>
        <v>3157</v>
      </c>
      <c r="O44" s="12">
        <f t="shared" si="20"/>
        <v>2029.5</v>
      </c>
      <c r="P44" s="12">
        <f t="shared" si="21"/>
        <v>2706</v>
      </c>
      <c r="Q44" s="12">
        <f t="shared" si="22"/>
        <v>9963</v>
      </c>
      <c r="R44" s="13">
        <f t="shared" si="23"/>
        <v>9963</v>
      </c>
      <c r="S44" s="13">
        <f t="shared" si="24"/>
        <v>2029.5</v>
      </c>
      <c r="T44" s="11">
        <f t="shared" si="8"/>
        <v>7933.5</v>
      </c>
      <c r="U44" s="2"/>
      <c r="V44" s="3"/>
    </row>
    <row r="45" spans="1:22" x14ac:dyDescent="0.3">
      <c r="A45" s="142">
        <v>42</v>
      </c>
      <c r="B45" s="16">
        <f t="shared" si="9"/>
        <v>42</v>
      </c>
      <c r="C45" s="12">
        <f t="shared" si="10"/>
        <v>2940</v>
      </c>
      <c r="D45" s="12">
        <f t="shared" si="0"/>
        <v>7560</v>
      </c>
      <c r="E45" s="12">
        <f t="shared" si="18"/>
        <v>1890</v>
      </c>
      <c r="F45" s="12">
        <f t="shared" si="1"/>
        <v>2520</v>
      </c>
      <c r="G45" s="12">
        <f t="shared" si="11"/>
        <v>4794.25</v>
      </c>
      <c r="H45" s="13">
        <f t="shared" si="12"/>
        <v>4956.9900000000007</v>
      </c>
      <c r="I45" s="13">
        <f t="shared" si="13"/>
        <v>4161.75</v>
      </c>
      <c r="J45" s="13">
        <f t="shared" si="14"/>
        <v>3636.75</v>
      </c>
      <c r="K45" s="13">
        <f t="shared" si="15"/>
        <v>3848</v>
      </c>
      <c r="L45" s="13">
        <f t="shared" si="16"/>
        <v>4564.2700000000032</v>
      </c>
      <c r="M45" s="13">
        <f t="shared" si="17"/>
        <v>4245.9400000000005</v>
      </c>
      <c r="N45" s="12">
        <f t="shared" si="19"/>
        <v>3234</v>
      </c>
      <c r="O45" s="12">
        <f t="shared" si="20"/>
        <v>2079</v>
      </c>
      <c r="P45" s="12">
        <f t="shared" si="21"/>
        <v>2772</v>
      </c>
      <c r="Q45" s="12">
        <f t="shared" si="22"/>
        <v>10206</v>
      </c>
      <c r="R45" s="13">
        <f t="shared" si="23"/>
        <v>10206</v>
      </c>
      <c r="S45" s="13">
        <f t="shared" si="24"/>
        <v>2079</v>
      </c>
      <c r="T45" s="11">
        <f t="shared" si="8"/>
        <v>8127</v>
      </c>
      <c r="U45" s="2"/>
      <c r="V45" s="3"/>
    </row>
    <row r="46" spans="1:22" x14ac:dyDescent="0.3">
      <c r="A46" s="142">
        <v>43</v>
      </c>
      <c r="B46" s="16">
        <f t="shared" si="9"/>
        <v>43</v>
      </c>
      <c r="C46" s="12">
        <f t="shared" si="10"/>
        <v>3010</v>
      </c>
      <c r="D46" s="12">
        <f t="shared" si="0"/>
        <v>7740</v>
      </c>
      <c r="E46" s="12">
        <f t="shared" si="18"/>
        <v>1935</v>
      </c>
      <c r="F46" s="12">
        <f t="shared" si="1"/>
        <v>2580</v>
      </c>
      <c r="G46" s="12">
        <f t="shared" si="11"/>
        <v>4908.25</v>
      </c>
      <c r="H46" s="13">
        <f t="shared" si="12"/>
        <v>5074.9500000000007</v>
      </c>
      <c r="I46" s="13">
        <f t="shared" si="13"/>
        <v>4260.75</v>
      </c>
      <c r="J46" s="13">
        <f t="shared" si="14"/>
        <v>3723.25</v>
      </c>
      <c r="K46" s="13">
        <f t="shared" si="15"/>
        <v>3939.5</v>
      </c>
      <c r="L46" s="13">
        <f t="shared" si="16"/>
        <v>4673.1500000000033</v>
      </c>
      <c r="M46" s="13">
        <f t="shared" si="17"/>
        <v>4346.9400000000005</v>
      </c>
      <c r="N46" s="12">
        <f t="shared" si="19"/>
        <v>3311</v>
      </c>
      <c r="O46" s="12">
        <f t="shared" si="20"/>
        <v>2128.5</v>
      </c>
      <c r="P46" s="12">
        <f t="shared" si="21"/>
        <v>2838</v>
      </c>
      <c r="Q46" s="12">
        <f t="shared" si="22"/>
        <v>10449</v>
      </c>
      <c r="R46" s="13">
        <f t="shared" si="23"/>
        <v>10449</v>
      </c>
      <c r="S46" s="13">
        <f t="shared" si="24"/>
        <v>2128.5</v>
      </c>
      <c r="T46" s="11">
        <f t="shared" si="8"/>
        <v>8320.5</v>
      </c>
      <c r="U46" s="2"/>
      <c r="V46" s="3"/>
    </row>
    <row r="47" spans="1:22" x14ac:dyDescent="0.3">
      <c r="A47" s="142">
        <v>44</v>
      </c>
      <c r="B47" s="16">
        <f t="shared" si="9"/>
        <v>44</v>
      </c>
      <c r="C47" s="12">
        <f t="shared" si="10"/>
        <v>3080</v>
      </c>
      <c r="D47" s="12">
        <f t="shared" si="0"/>
        <v>7920</v>
      </c>
      <c r="E47" s="12">
        <f t="shared" si="18"/>
        <v>1980</v>
      </c>
      <c r="F47" s="12">
        <f t="shared" si="1"/>
        <v>2640</v>
      </c>
      <c r="G47" s="12">
        <f t="shared" si="11"/>
        <v>5022.25</v>
      </c>
      <c r="H47" s="13">
        <f t="shared" si="12"/>
        <v>5192.9100000000008</v>
      </c>
      <c r="I47" s="13">
        <f t="shared" si="13"/>
        <v>4359.75</v>
      </c>
      <c r="J47" s="13">
        <f t="shared" si="14"/>
        <v>3809.75</v>
      </c>
      <c r="K47" s="13">
        <f t="shared" si="15"/>
        <v>4031</v>
      </c>
      <c r="L47" s="13">
        <f t="shared" si="16"/>
        <v>4782.0300000000034</v>
      </c>
      <c r="M47" s="13">
        <f t="shared" si="17"/>
        <v>4447.9400000000005</v>
      </c>
      <c r="N47" s="12">
        <f t="shared" si="19"/>
        <v>3388</v>
      </c>
      <c r="O47" s="12">
        <f t="shared" si="20"/>
        <v>2178</v>
      </c>
      <c r="P47" s="12">
        <f t="shared" si="21"/>
        <v>2904</v>
      </c>
      <c r="Q47" s="12">
        <f t="shared" si="22"/>
        <v>10692</v>
      </c>
      <c r="R47" s="13">
        <f t="shared" si="23"/>
        <v>10692</v>
      </c>
      <c r="S47" s="13">
        <f t="shared" si="24"/>
        <v>2178</v>
      </c>
      <c r="T47" s="11">
        <f t="shared" si="8"/>
        <v>8514</v>
      </c>
      <c r="U47" s="2"/>
      <c r="V47" s="3"/>
    </row>
    <row r="48" spans="1:22" x14ac:dyDescent="0.3">
      <c r="A48" s="142">
        <v>45</v>
      </c>
      <c r="B48" s="16">
        <f t="shared" si="9"/>
        <v>45</v>
      </c>
      <c r="C48" s="12">
        <f t="shared" si="10"/>
        <v>3150</v>
      </c>
      <c r="D48" s="12">
        <f t="shared" si="0"/>
        <v>8100</v>
      </c>
      <c r="E48" s="12">
        <f t="shared" si="18"/>
        <v>2025</v>
      </c>
      <c r="F48" s="12">
        <f t="shared" si="1"/>
        <v>2700</v>
      </c>
      <c r="G48" s="12">
        <f t="shared" si="11"/>
        <v>5136.25</v>
      </c>
      <c r="H48" s="13">
        <f t="shared" si="12"/>
        <v>5310.8700000000008</v>
      </c>
      <c r="I48" s="13">
        <f t="shared" si="13"/>
        <v>4458.75</v>
      </c>
      <c r="J48" s="13">
        <f t="shared" si="14"/>
        <v>3896.25</v>
      </c>
      <c r="K48" s="13">
        <f t="shared" si="15"/>
        <v>4122.5</v>
      </c>
      <c r="L48" s="13">
        <f t="shared" si="16"/>
        <v>4890.9100000000035</v>
      </c>
      <c r="M48" s="13">
        <f t="shared" si="17"/>
        <v>4548.9400000000005</v>
      </c>
      <c r="N48" s="12">
        <f t="shared" si="19"/>
        <v>3465</v>
      </c>
      <c r="O48" s="12">
        <f t="shared" si="20"/>
        <v>2227.5</v>
      </c>
      <c r="P48" s="12">
        <f t="shared" si="21"/>
        <v>2970</v>
      </c>
      <c r="Q48" s="12">
        <f t="shared" si="22"/>
        <v>10935</v>
      </c>
      <c r="R48" s="13">
        <f t="shared" si="23"/>
        <v>10935</v>
      </c>
      <c r="S48" s="13">
        <f t="shared" si="24"/>
        <v>2227.5</v>
      </c>
      <c r="T48" s="11">
        <f t="shared" si="8"/>
        <v>8707.5</v>
      </c>
      <c r="U48" s="2"/>
      <c r="V48" s="3"/>
    </row>
    <row r="49" spans="1:22" x14ac:dyDescent="0.3">
      <c r="A49" s="142">
        <v>46</v>
      </c>
      <c r="B49" s="16">
        <f t="shared" si="9"/>
        <v>46</v>
      </c>
      <c r="C49" s="12">
        <f t="shared" si="10"/>
        <v>3220</v>
      </c>
      <c r="D49" s="12">
        <f t="shared" si="0"/>
        <v>8280</v>
      </c>
      <c r="E49" s="12">
        <f t="shared" si="18"/>
        <v>2070</v>
      </c>
      <c r="F49" s="12">
        <f t="shared" si="1"/>
        <v>2760</v>
      </c>
      <c r="G49" s="12">
        <f t="shared" si="11"/>
        <v>5250.25</v>
      </c>
      <c r="H49" s="13">
        <f t="shared" si="12"/>
        <v>5428.8300000000008</v>
      </c>
      <c r="I49" s="13">
        <f t="shared" si="13"/>
        <v>4557.75</v>
      </c>
      <c r="J49" s="13">
        <f t="shared" si="14"/>
        <v>3982.75</v>
      </c>
      <c r="K49" s="13">
        <f t="shared" si="15"/>
        <v>4214</v>
      </c>
      <c r="L49" s="13">
        <f t="shared" si="16"/>
        <v>4999.7900000000036</v>
      </c>
      <c r="M49" s="13">
        <f t="shared" si="17"/>
        <v>4649.9400000000005</v>
      </c>
      <c r="N49" s="12">
        <f t="shared" si="19"/>
        <v>3542</v>
      </c>
      <c r="O49" s="12">
        <f t="shared" si="20"/>
        <v>2277</v>
      </c>
      <c r="P49" s="12">
        <f t="shared" si="21"/>
        <v>3036</v>
      </c>
      <c r="Q49" s="12">
        <f t="shared" si="22"/>
        <v>11178</v>
      </c>
      <c r="R49" s="13">
        <f t="shared" si="23"/>
        <v>11178</v>
      </c>
      <c r="S49" s="13">
        <f t="shared" si="24"/>
        <v>2277</v>
      </c>
      <c r="T49" s="11">
        <f t="shared" si="8"/>
        <v>8901</v>
      </c>
      <c r="U49" s="2"/>
      <c r="V49" s="3"/>
    </row>
    <row r="50" spans="1:22" x14ac:dyDescent="0.3">
      <c r="A50" s="142">
        <v>47</v>
      </c>
      <c r="B50" s="16">
        <f t="shared" si="9"/>
        <v>47</v>
      </c>
      <c r="C50" s="12">
        <f t="shared" si="10"/>
        <v>3290</v>
      </c>
      <c r="D50" s="12">
        <f t="shared" si="0"/>
        <v>8460</v>
      </c>
      <c r="E50" s="12">
        <f t="shared" si="18"/>
        <v>2115</v>
      </c>
      <c r="F50" s="12">
        <f t="shared" si="1"/>
        <v>2820</v>
      </c>
      <c r="G50" s="12">
        <f t="shared" si="11"/>
        <v>5364.25</v>
      </c>
      <c r="H50" s="13">
        <f t="shared" si="12"/>
        <v>5546.7900000000009</v>
      </c>
      <c r="I50" s="13">
        <f t="shared" si="13"/>
        <v>4656.75</v>
      </c>
      <c r="J50" s="13">
        <f t="shared" si="14"/>
        <v>4069.25</v>
      </c>
      <c r="K50" s="13">
        <f t="shared" si="15"/>
        <v>4305.5</v>
      </c>
      <c r="L50" s="13">
        <f t="shared" si="16"/>
        <v>5108.6700000000037</v>
      </c>
      <c r="M50" s="13">
        <f t="shared" si="17"/>
        <v>4750.9400000000005</v>
      </c>
      <c r="N50" s="12">
        <f t="shared" si="19"/>
        <v>3619</v>
      </c>
      <c r="O50" s="12">
        <f t="shared" si="20"/>
        <v>2326.5</v>
      </c>
      <c r="P50" s="12">
        <f t="shared" si="21"/>
        <v>3102</v>
      </c>
      <c r="Q50" s="12">
        <f t="shared" si="22"/>
        <v>11421</v>
      </c>
      <c r="R50" s="13">
        <f t="shared" si="23"/>
        <v>11421</v>
      </c>
      <c r="S50" s="13">
        <f t="shared" si="24"/>
        <v>2326.5</v>
      </c>
      <c r="T50" s="11">
        <f t="shared" si="8"/>
        <v>9094.5</v>
      </c>
      <c r="U50" s="2"/>
      <c r="V50" s="3"/>
    </row>
    <row r="51" spans="1:22" x14ac:dyDescent="0.3">
      <c r="A51" s="142">
        <v>48</v>
      </c>
      <c r="B51" s="16">
        <f t="shared" si="9"/>
        <v>48</v>
      </c>
      <c r="C51" s="12">
        <f t="shared" si="10"/>
        <v>3360</v>
      </c>
      <c r="D51" s="12">
        <f t="shared" si="0"/>
        <v>8640</v>
      </c>
      <c r="E51" s="12">
        <f t="shared" si="18"/>
        <v>2160</v>
      </c>
      <c r="F51" s="12">
        <f t="shared" si="1"/>
        <v>2880</v>
      </c>
      <c r="G51" s="12">
        <f t="shared" si="11"/>
        <v>5478.25</v>
      </c>
      <c r="H51" s="13">
        <f t="shared" si="12"/>
        <v>5664.7500000000009</v>
      </c>
      <c r="I51" s="13">
        <f t="shared" si="13"/>
        <v>4755.75</v>
      </c>
      <c r="J51" s="13">
        <f t="shared" si="14"/>
        <v>4155.75</v>
      </c>
      <c r="K51" s="13">
        <f t="shared" si="15"/>
        <v>4397</v>
      </c>
      <c r="L51" s="13">
        <f t="shared" si="16"/>
        <v>5217.5500000000038</v>
      </c>
      <c r="M51" s="13">
        <f t="shared" si="17"/>
        <v>4851.9400000000005</v>
      </c>
      <c r="N51" s="12">
        <f t="shared" si="19"/>
        <v>3696</v>
      </c>
      <c r="O51" s="12">
        <f t="shared" si="20"/>
        <v>2376</v>
      </c>
      <c r="P51" s="12">
        <f t="shared" si="21"/>
        <v>3168</v>
      </c>
      <c r="Q51" s="12">
        <f t="shared" si="22"/>
        <v>11664</v>
      </c>
      <c r="R51" s="13">
        <f t="shared" si="23"/>
        <v>11664</v>
      </c>
      <c r="S51" s="13">
        <f t="shared" si="24"/>
        <v>2376</v>
      </c>
      <c r="T51" s="11">
        <f t="shared" si="8"/>
        <v>9288</v>
      </c>
      <c r="U51" s="2"/>
      <c r="V51" s="3"/>
    </row>
    <row r="52" spans="1:22" x14ac:dyDescent="0.3">
      <c r="A52" s="142">
        <v>49</v>
      </c>
      <c r="B52" s="16">
        <f t="shared" si="9"/>
        <v>49</v>
      </c>
      <c r="C52" s="12">
        <f t="shared" si="10"/>
        <v>3430</v>
      </c>
      <c r="D52" s="12">
        <f t="shared" si="0"/>
        <v>8820</v>
      </c>
      <c r="E52" s="12">
        <f t="shared" si="18"/>
        <v>2205</v>
      </c>
      <c r="F52" s="12">
        <f t="shared" si="1"/>
        <v>2940</v>
      </c>
      <c r="G52" s="12">
        <f t="shared" si="11"/>
        <v>5592.25</v>
      </c>
      <c r="H52" s="13">
        <f t="shared" si="12"/>
        <v>5782.7100000000009</v>
      </c>
      <c r="I52" s="13">
        <f t="shared" si="13"/>
        <v>4854.75</v>
      </c>
      <c r="J52" s="13">
        <f t="shared" si="14"/>
        <v>4242.25</v>
      </c>
      <c r="K52" s="13">
        <f t="shared" si="15"/>
        <v>4488.5</v>
      </c>
      <c r="L52" s="13">
        <f t="shared" si="16"/>
        <v>5326.4300000000039</v>
      </c>
      <c r="M52" s="13">
        <f t="shared" si="17"/>
        <v>4952.9400000000005</v>
      </c>
      <c r="N52" s="12">
        <f t="shared" si="19"/>
        <v>3773</v>
      </c>
      <c r="O52" s="12">
        <f t="shared" si="20"/>
        <v>2425.5</v>
      </c>
      <c r="P52" s="12">
        <f t="shared" si="21"/>
        <v>3234</v>
      </c>
      <c r="Q52" s="12">
        <f t="shared" si="22"/>
        <v>11907</v>
      </c>
      <c r="R52" s="13">
        <f t="shared" si="23"/>
        <v>11907</v>
      </c>
      <c r="S52" s="13">
        <f t="shared" si="24"/>
        <v>2425.5</v>
      </c>
      <c r="T52" s="11">
        <f t="shared" si="8"/>
        <v>9481.5</v>
      </c>
      <c r="U52" s="2"/>
      <c r="V52" s="3"/>
    </row>
    <row r="53" spans="1:22" ht="15" thickBot="1" x14ac:dyDescent="0.35">
      <c r="A53" s="143">
        <v>50</v>
      </c>
      <c r="B53" s="144">
        <f t="shared" si="9"/>
        <v>50</v>
      </c>
      <c r="C53" s="145">
        <f t="shared" si="10"/>
        <v>3500</v>
      </c>
      <c r="D53" s="145">
        <f t="shared" si="0"/>
        <v>9000</v>
      </c>
      <c r="E53" s="145">
        <f t="shared" si="18"/>
        <v>2250</v>
      </c>
      <c r="F53" s="145">
        <f t="shared" si="1"/>
        <v>3000</v>
      </c>
      <c r="G53" s="145">
        <f t="shared" si="11"/>
        <v>5706.25</v>
      </c>
      <c r="H53" s="146">
        <f t="shared" si="12"/>
        <v>5900.670000000001</v>
      </c>
      <c r="I53" s="146">
        <f t="shared" si="13"/>
        <v>4953.75</v>
      </c>
      <c r="J53" s="146">
        <f t="shared" si="14"/>
        <v>4328.75</v>
      </c>
      <c r="K53" s="146">
        <f t="shared" si="15"/>
        <v>4580</v>
      </c>
      <c r="L53" s="146">
        <f t="shared" si="16"/>
        <v>5435.310000000004</v>
      </c>
      <c r="M53" s="146">
        <f t="shared" si="17"/>
        <v>5053.9400000000005</v>
      </c>
      <c r="N53" s="145">
        <f t="shared" si="19"/>
        <v>3850</v>
      </c>
      <c r="O53" s="145">
        <f t="shared" si="20"/>
        <v>2475</v>
      </c>
      <c r="P53" s="145">
        <f t="shared" si="21"/>
        <v>3300</v>
      </c>
      <c r="Q53" s="145">
        <f t="shared" si="22"/>
        <v>12150</v>
      </c>
      <c r="R53" s="146">
        <f t="shared" si="23"/>
        <v>12150</v>
      </c>
      <c r="S53" s="146">
        <f t="shared" si="24"/>
        <v>2475</v>
      </c>
      <c r="T53" s="38">
        <f t="shared" si="8"/>
        <v>9675</v>
      </c>
      <c r="U53" s="6"/>
      <c r="V53" s="7"/>
    </row>
  </sheetData>
  <mergeCells count="11">
    <mergeCell ref="V1:V3"/>
    <mergeCell ref="A1:A3"/>
    <mergeCell ref="B1:B3"/>
    <mergeCell ref="C1:C2"/>
    <mergeCell ref="D1:D2"/>
    <mergeCell ref="E1:E2"/>
    <mergeCell ref="F1:F2"/>
    <mergeCell ref="R1:R3"/>
    <mergeCell ref="S1:S3"/>
    <mergeCell ref="T1:T3"/>
    <mergeCell ref="U1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6571-1CBC-4AA0-BCC3-CB02A0E9928F}">
  <dimension ref="A1:V208"/>
  <sheetViews>
    <sheetView tabSelected="1" workbookViewId="0">
      <selection activeCell="F3" sqref="F3"/>
    </sheetView>
  </sheetViews>
  <sheetFormatPr defaultRowHeight="14.4" x14ac:dyDescent="0.3"/>
  <cols>
    <col min="3" max="3" width="15.44140625" customWidth="1"/>
    <col min="4" max="4" width="13.44140625" customWidth="1"/>
    <col min="5" max="6" width="14.33203125" customWidth="1"/>
    <col min="7" max="7" width="14.21875" customWidth="1"/>
    <col min="8" max="8" width="13.33203125" customWidth="1"/>
    <col min="9" max="9" width="12.21875" customWidth="1"/>
    <col min="10" max="11" width="12.44140625" customWidth="1"/>
    <col min="12" max="13" width="14" customWidth="1"/>
    <col min="14" max="14" width="15.109375" customWidth="1"/>
    <col min="15" max="17" width="14.33203125" customWidth="1"/>
    <col min="21" max="21" width="19.77734375" customWidth="1"/>
    <col min="22" max="22" width="10.6640625" customWidth="1"/>
  </cols>
  <sheetData>
    <row r="1" spans="1:22" ht="43.8" thickBot="1" x14ac:dyDescent="0.35">
      <c r="A1" s="236" t="s">
        <v>0</v>
      </c>
      <c r="B1" s="239" t="s">
        <v>22</v>
      </c>
      <c r="C1" s="242" t="s">
        <v>23</v>
      </c>
      <c r="D1" s="242" t="s">
        <v>24</v>
      </c>
      <c r="E1" s="251" t="s">
        <v>42</v>
      </c>
      <c r="F1" s="251" t="s">
        <v>43</v>
      </c>
      <c r="G1" s="156" t="s">
        <v>31</v>
      </c>
      <c r="H1" s="156" t="s">
        <v>30</v>
      </c>
      <c r="I1" s="156" t="s">
        <v>25</v>
      </c>
      <c r="J1" s="156" t="s">
        <v>26</v>
      </c>
      <c r="K1" s="156" t="s">
        <v>27</v>
      </c>
      <c r="L1" s="156" t="s">
        <v>28</v>
      </c>
      <c r="M1" s="156" t="s">
        <v>29</v>
      </c>
      <c r="N1" s="157" t="s">
        <v>34</v>
      </c>
      <c r="O1" s="157" t="s">
        <v>35</v>
      </c>
      <c r="P1" s="166" t="s">
        <v>44</v>
      </c>
      <c r="Q1" s="158" t="s">
        <v>41</v>
      </c>
      <c r="R1" s="236" t="s">
        <v>37</v>
      </c>
      <c r="S1" s="236" t="s">
        <v>36</v>
      </c>
      <c r="T1" s="236" t="s">
        <v>33</v>
      </c>
      <c r="U1" s="236" t="s">
        <v>38</v>
      </c>
      <c r="V1" s="236" t="s">
        <v>39</v>
      </c>
    </row>
    <row r="2" spans="1:22" ht="29.4" thickBot="1" x14ac:dyDescent="0.35">
      <c r="A2" s="237"/>
      <c r="B2" s="240"/>
      <c r="C2" s="243"/>
      <c r="D2" s="243"/>
      <c r="E2" s="252"/>
      <c r="F2" s="253"/>
      <c r="G2" s="161" t="s">
        <v>32</v>
      </c>
      <c r="H2" s="161" t="s">
        <v>32</v>
      </c>
      <c r="I2" s="161" t="s">
        <v>32</v>
      </c>
      <c r="J2" s="161" t="s">
        <v>32</v>
      </c>
      <c r="K2" s="161" t="s">
        <v>32</v>
      </c>
      <c r="L2" s="161" t="s">
        <v>32</v>
      </c>
      <c r="M2" s="164" t="s">
        <v>32</v>
      </c>
      <c r="N2" s="161" t="s">
        <v>17</v>
      </c>
      <c r="O2" s="161" t="s">
        <v>17</v>
      </c>
      <c r="P2" s="161" t="s">
        <v>17</v>
      </c>
      <c r="Q2" s="161" t="s">
        <v>17</v>
      </c>
      <c r="R2" s="249"/>
      <c r="S2" s="237"/>
      <c r="T2" s="237"/>
      <c r="U2" s="237"/>
      <c r="V2" s="237"/>
    </row>
    <row r="3" spans="1:22" ht="15" thickBot="1" x14ac:dyDescent="0.35">
      <c r="A3" s="238"/>
      <c r="B3" s="241"/>
      <c r="C3" s="160">
        <v>70</v>
      </c>
      <c r="D3" s="160">
        <v>180</v>
      </c>
      <c r="E3" s="160">
        <v>30</v>
      </c>
      <c r="F3" s="160">
        <v>50</v>
      </c>
      <c r="G3" s="160">
        <v>41.63</v>
      </c>
      <c r="H3" s="162">
        <v>42.29</v>
      </c>
      <c r="I3" s="162">
        <v>39.5</v>
      </c>
      <c r="J3" s="162">
        <v>35.75</v>
      </c>
      <c r="K3" s="162">
        <v>38.25</v>
      </c>
      <c r="L3" s="162">
        <v>41.31</v>
      </c>
      <c r="M3" s="165">
        <v>57.25</v>
      </c>
      <c r="N3" s="163">
        <v>0.1</v>
      </c>
      <c r="O3" s="163">
        <v>0.35</v>
      </c>
      <c r="P3" s="163">
        <v>0.1</v>
      </c>
      <c r="Q3" s="163">
        <v>0.1</v>
      </c>
      <c r="R3" s="250"/>
      <c r="S3" s="238"/>
      <c r="T3" s="238"/>
      <c r="U3" s="238"/>
      <c r="V3" s="238"/>
    </row>
    <row r="4" spans="1:22" ht="43.2" x14ac:dyDescent="0.3">
      <c r="A4" s="147" cm="1">
        <f t="array" ref="A4:A53">_xlfn.SEQUENCE(50)</f>
        <v>1</v>
      </c>
      <c r="B4" s="148">
        <v>1</v>
      </c>
      <c r="C4" s="159">
        <f>B4*$C$3</f>
        <v>70</v>
      </c>
      <c r="D4" s="159">
        <f t="shared" ref="D4:D35" si="0">B4*$D$3</f>
        <v>180</v>
      </c>
      <c r="E4" s="159">
        <f>$E$3*B6</f>
        <v>90</v>
      </c>
      <c r="F4" s="159">
        <f t="shared" ref="F4:F35" si="1">B4*$F$3</f>
        <v>50</v>
      </c>
      <c r="G4" s="159">
        <f>48.88+$G$3</f>
        <v>90.51</v>
      </c>
      <c r="H4" s="46">
        <f>50.41+$H$3</f>
        <v>92.699999999999989</v>
      </c>
      <c r="I4" s="46">
        <f>43.25+$I$3</f>
        <v>82.75</v>
      </c>
      <c r="J4" s="46">
        <f>39.5+$J$3</f>
        <v>75.25</v>
      </c>
      <c r="K4" s="46">
        <f>43.25+$K$3</f>
        <v>81.5</v>
      </c>
      <c r="L4" s="46">
        <f>45.25+$L$3</f>
        <v>86.56</v>
      </c>
      <c r="M4" s="46">
        <f>60.25+$M$3</f>
        <v>117.5</v>
      </c>
      <c r="N4" s="159">
        <f>C4 + $N$3*C4</f>
        <v>77</v>
      </c>
      <c r="O4" s="159">
        <f t="shared" ref="O4:O35" si="2">D4 + $O$3*D4</f>
        <v>243</v>
      </c>
      <c r="P4" s="159">
        <f t="shared" ref="P4:P35" si="3">E4 + $P$3*E4</f>
        <v>99</v>
      </c>
      <c r="Q4" s="159">
        <f t="shared" ref="Q4:Q35" si="4">F4 + $Q$3*F4</f>
        <v>55</v>
      </c>
      <c r="R4" s="149">
        <f>MAX(N4:Q4)</f>
        <v>243</v>
      </c>
      <c r="S4" s="150">
        <f>MIN(N4:Q4)</f>
        <v>55</v>
      </c>
      <c r="T4" s="151">
        <f>R4 - S4</f>
        <v>188</v>
      </c>
      <c r="U4" s="152" t="str">
        <f>INDEX($C$1:$M$1, MATCH(MIN(C6:M6), C6:M6, 0))</f>
        <v>DTDC PER KG</v>
      </c>
      <c r="V4" s="153" t="str">
        <f>INDEX($N$1:$Q$1, MATCH(MAX(N4:Q4), N4:Q4,0))</f>
        <v>ANJANI COURIER SERVICE</v>
      </c>
    </row>
    <row r="5" spans="1:22" x14ac:dyDescent="0.3">
      <c r="A5" s="142">
        <v>2</v>
      </c>
      <c r="B5" s="16">
        <f>B4 + 1</f>
        <v>2</v>
      </c>
      <c r="C5" s="12">
        <f>B5*$C$3</f>
        <v>140</v>
      </c>
      <c r="D5" s="12">
        <f t="shared" si="0"/>
        <v>360</v>
      </c>
      <c r="E5" s="12">
        <f>$E$3*B6</f>
        <v>90</v>
      </c>
      <c r="F5" s="12">
        <f t="shared" si="1"/>
        <v>100</v>
      </c>
      <c r="G5" s="12">
        <f>SUM(G4, $G$3*2)</f>
        <v>173.77</v>
      </c>
      <c r="H5" s="13">
        <f>SUM(H4, $H$3*2)</f>
        <v>177.27999999999997</v>
      </c>
      <c r="I5" s="13">
        <f>SUM(I4, $I$3*2)</f>
        <v>161.75</v>
      </c>
      <c r="J5" s="13">
        <f>SUM(J4, $J$3*2)</f>
        <v>146.75</v>
      </c>
      <c r="K5" s="13">
        <f>SUM(K4, $K$3*2)</f>
        <v>158</v>
      </c>
      <c r="L5" s="13">
        <f>SUM(L4, $L$3*2)</f>
        <v>169.18</v>
      </c>
      <c r="M5" s="13">
        <f>SUM(M4, $M$3*2)</f>
        <v>232</v>
      </c>
      <c r="N5" s="12">
        <f t="shared" ref="N5:N53" si="5">C5 + $N$3*C5</f>
        <v>154</v>
      </c>
      <c r="O5" s="12">
        <f t="shared" si="2"/>
        <v>486</v>
      </c>
      <c r="P5" s="12">
        <f t="shared" si="3"/>
        <v>99</v>
      </c>
      <c r="Q5" s="12">
        <f t="shared" si="4"/>
        <v>110</v>
      </c>
      <c r="R5" s="13">
        <f t="shared" ref="R5:R36" si="6">MAX(N5, O5, G5:Q5)</f>
        <v>486</v>
      </c>
      <c r="S5" s="13">
        <f t="shared" ref="S5:S36" si="7">MIN(N5, O5, G5:Q5)</f>
        <v>99</v>
      </c>
      <c r="T5" s="11">
        <f t="shared" ref="T5:T53" si="8">R5 - S5</f>
        <v>387</v>
      </c>
      <c r="U5" s="2"/>
      <c r="V5" s="3"/>
    </row>
    <row r="6" spans="1:22" x14ac:dyDescent="0.3">
      <c r="A6" s="142">
        <v>3</v>
      </c>
      <c r="B6" s="16">
        <f t="shared" ref="B6:B53" si="9">B5 + 1</f>
        <v>3</v>
      </c>
      <c r="C6" s="12">
        <f t="shared" ref="C6:C53" si="10">B6*$C$3</f>
        <v>210</v>
      </c>
      <c r="D6" s="12">
        <f t="shared" si="0"/>
        <v>540</v>
      </c>
      <c r="E6" s="12">
        <f>$E$3*B6</f>
        <v>90</v>
      </c>
      <c r="F6" s="12">
        <f t="shared" si="1"/>
        <v>150</v>
      </c>
      <c r="G6" s="12">
        <f t="shared" ref="G6:G53" si="11">SUM(G5, $G$3*2)</f>
        <v>257.03000000000003</v>
      </c>
      <c r="H6" s="13">
        <f t="shared" ref="H6:H53" si="12">SUM(H5, $H$3*2)</f>
        <v>261.85999999999996</v>
      </c>
      <c r="I6" s="13">
        <f t="shared" ref="I6:I53" si="13">SUM(I5, $I$3*2)</f>
        <v>240.75</v>
      </c>
      <c r="J6" s="13">
        <f t="shared" ref="J6:J53" si="14">SUM(J5, $J$3*2)</f>
        <v>218.25</v>
      </c>
      <c r="K6" s="13">
        <f t="shared" ref="K6:K53" si="15">SUM(K5, $K$3*2)</f>
        <v>234.5</v>
      </c>
      <c r="L6" s="13">
        <f t="shared" ref="L6:L53" si="16">SUM(L5, $L$3*2)</f>
        <v>251.8</v>
      </c>
      <c r="M6" s="13">
        <f t="shared" ref="M6:M53" si="17">SUM(M5, $M$3*2)</f>
        <v>346.5</v>
      </c>
      <c r="N6" s="12">
        <f t="shared" si="5"/>
        <v>231</v>
      </c>
      <c r="O6" s="12">
        <f t="shared" si="2"/>
        <v>729</v>
      </c>
      <c r="P6" s="12">
        <f t="shared" si="3"/>
        <v>99</v>
      </c>
      <c r="Q6" s="12">
        <f t="shared" si="4"/>
        <v>165</v>
      </c>
      <c r="R6" s="13">
        <f t="shared" si="6"/>
        <v>729</v>
      </c>
      <c r="S6" s="13">
        <f t="shared" si="7"/>
        <v>99</v>
      </c>
      <c r="T6" s="11">
        <f t="shared" si="8"/>
        <v>630</v>
      </c>
      <c r="U6" s="2"/>
      <c r="V6" s="3"/>
    </row>
    <row r="7" spans="1:22" x14ac:dyDescent="0.3">
      <c r="A7" s="142">
        <v>4</v>
      </c>
      <c r="B7" s="16">
        <f t="shared" si="9"/>
        <v>4</v>
      </c>
      <c r="C7" s="12">
        <f t="shared" si="10"/>
        <v>280</v>
      </c>
      <c r="D7" s="12">
        <f t="shared" si="0"/>
        <v>720</v>
      </c>
      <c r="E7" s="12">
        <f>$E$3*B7</f>
        <v>120</v>
      </c>
      <c r="F7" s="12">
        <f t="shared" si="1"/>
        <v>200</v>
      </c>
      <c r="G7" s="12">
        <f t="shared" si="11"/>
        <v>340.29</v>
      </c>
      <c r="H7" s="13">
        <f t="shared" si="12"/>
        <v>346.43999999999994</v>
      </c>
      <c r="I7" s="13">
        <f t="shared" si="13"/>
        <v>319.75</v>
      </c>
      <c r="J7" s="13">
        <f t="shared" si="14"/>
        <v>289.75</v>
      </c>
      <c r="K7" s="13">
        <f t="shared" si="15"/>
        <v>311</v>
      </c>
      <c r="L7" s="13">
        <f t="shared" si="16"/>
        <v>334.42</v>
      </c>
      <c r="M7" s="13">
        <f t="shared" si="17"/>
        <v>461</v>
      </c>
      <c r="N7" s="12">
        <f t="shared" si="5"/>
        <v>308</v>
      </c>
      <c r="O7" s="12">
        <f t="shared" si="2"/>
        <v>972</v>
      </c>
      <c r="P7" s="12">
        <f t="shared" si="3"/>
        <v>132</v>
      </c>
      <c r="Q7" s="12">
        <f t="shared" si="4"/>
        <v>220</v>
      </c>
      <c r="R7" s="13">
        <f t="shared" si="6"/>
        <v>972</v>
      </c>
      <c r="S7" s="13">
        <f t="shared" si="7"/>
        <v>132</v>
      </c>
      <c r="T7" s="11">
        <f t="shared" si="8"/>
        <v>840</v>
      </c>
      <c r="U7" s="2"/>
      <c r="V7" s="3"/>
    </row>
    <row r="8" spans="1:22" x14ac:dyDescent="0.3">
      <c r="A8" s="142">
        <v>5</v>
      </c>
      <c r="B8" s="16">
        <f t="shared" si="9"/>
        <v>5</v>
      </c>
      <c r="C8" s="12">
        <f t="shared" si="10"/>
        <v>350</v>
      </c>
      <c r="D8" s="12">
        <f t="shared" si="0"/>
        <v>900</v>
      </c>
      <c r="E8" s="12">
        <f t="shared" ref="E8:E53" si="18">$E$3*B8</f>
        <v>150</v>
      </c>
      <c r="F8" s="12">
        <f t="shared" si="1"/>
        <v>250</v>
      </c>
      <c r="G8" s="12">
        <f t="shared" si="11"/>
        <v>423.55</v>
      </c>
      <c r="H8" s="13">
        <f t="shared" si="12"/>
        <v>431.01999999999992</v>
      </c>
      <c r="I8" s="13">
        <f t="shared" si="13"/>
        <v>398.75</v>
      </c>
      <c r="J8" s="13">
        <f t="shared" si="14"/>
        <v>361.25</v>
      </c>
      <c r="K8" s="13">
        <f t="shared" si="15"/>
        <v>387.5</v>
      </c>
      <c r="L8" s="13">
        <f t="shared" si="16"/>
        <v>417.04</v>
      </c>
      <c r="M8" s="13">
        <f t="shared" si="17"/>
        <v>575.5</v>
      </c>
      <c r="N8" s="12">
        <f t="shared" si="5"/>
        <v>385</v>
      </c>
      <c r="O8" s="12">
        <f t="shared" si="2"/>
        <v>1215</v>
      </c>
      <c r="P8" s="12">
        <f t="shared" si="3"/>
        <v>165</v>
      </c>
      <c r="Q8" s="12">
        <f t="shared" si="4"/>
        <v>275</v>
      </c>
      <c r="R8" s="13">
        <f t="shared" si="6"/>
        <v>1215</v>
      </c>
      <c r="S8" s="13">
        <f t="shared" si="7"/>
        <v>165</v>
      </c>
      <c r="T8" s="11">
        <f t="shared" si="8"/>
        <v>1050</v>
      </c>
      <c r="U8" s="2"/>
      <c r="V8" s="3"/>
    </row>
    <row r="9" spans="1:22" x14ac:dyDescent="0.3">
      <c r="A9" s="142">
        <v>6</v>
      </c>
      <c r="B9" s="16">
        <f t="shared" si="9"/>
        <v>6</v>
      </c>
      <c r="C9" s="12">
        <f t="shared" si="10"/>
        <v>420</v>
      </c>
      <c r="D9" s="12">
        <f t="shared" si="0"/>
        <v>1080</v>
      </c>
      <c r="E9" s="12">
        <f t="shared" si="18"/>
        <v>180</v>
      </c>
      <c r="F9" s="12">
        <f t="shared" si="1"/>
        <v>300</v>
      </c>
      <c r="G9" s="12">
        <f t="shared" si="11"/>
        <v>506.81</v>
      </c>
      <c r="H9" s="13">
        <f t="shared" si="12"/>
        <v>515.59999999999991</v>
      </c>
      <c r="I9" s="13">
        <f t="shared" si="13"/>
        <v>477.75</v>
      </c>
      <c r="J9" s="13">
        <f t="shared" si="14"/>
        <v>432.75</v>
      </c>
      <c r="K9" s="13">
        <f t="shared" si="15"/>
        <v>464</v>
      </c>
      <c r="L9" s="13">
        <f t="shared" si="16"/>
        <v>499.66</v>
      </c>
      <c r="M9" s="13">
        <f t="shared" si="17"/>
        <v>690</v>
      </c>
      <c r="N9" s="12">
        <f t="shared" si="5"/>
        <v>462</v>
      </c>
      <c r="O9" s="12">
        <f t="shared" si="2"/>
        <v>1458</v>
      </c>
      <c r="P9" s="12">
        <f t="shared" si="3"/>
        <v>198</v>
      </c>
      <c r="Q9" s="12">
        <f t="shared" si="4"/>
        <v>330</v>
      </c>
      <c r="R9" s="13">
        <f t="shared" si="6"/>
        <v>1458</v>
      </c>
      <c r="S9" s="13">
        <f t="shared" si="7"/>
        <v>198</v>
      </c>
      <c r="T9" s="11">
        <f t="shared" si="8"/>
        <v>1260</v>
      </c>
      <c r="U9" s="2"/>
      <c r="V9" s="3"/>
    </row>
    <row r="10" spans="1:22" x14ac:dyDescent="0.3">
      <c r="A10" s="142">
        <v>7</v>
      </c>
      <c r="B10" s="16">
        <f t="shared" si="9"/>
        <v>7</v>
      </c>
      <c r="C10" s="12">
        <f t="shared" si="10"/>
        <v>490</v>
      </c>
      <c r="D10" s="12">
        <f t="shared" si="0"/>
        <v>1260</v>
      </c>
      <c r="E10" s="12">
        <f t="shared" si="18"/>
        <v>210</v>
      </c>
      <c r="F10" s="12">
        <f t="shared" si="1"/>
        <v>350</v>
      </c>
      <c r="G10" s="12">
        <f t="shared" si="11"/>
        <v>590.07000000000005</v>
      </c>
      <c r="H10" s="13">
        <f t="shared" si="12"/>
        <v>600.17999999999995</v>
      </c>
      <c r="I10" s="13">
        <f t="shared" si="13"/>
        <v>556.75</v>
      </c>
      <c r="J10" s="13">
        <f t="shared" si="14"/>
        <v>504.25</v>
      </c>
      <c r="K10" s="13">
        <f t="shared" si="15"/>
        <v>540.5</v>
      </c>
      <c r="L10" s="13">
        <f t="shared" si="16"/>
        <v>582.28</v>
      </c>
      <c r="M10" s="13">
        <f t="shared" si="17"/>
        <v>804.5</v>
      </c>
      <c r="N10" s="12">
        <f t="shared" si="5"/>
        <v>539</v>
      </c>
      <c r="O10" s="12">
        <f t="shared" si="2"/>
        <v>1701</v>
      </c>
      <c r="P10" s="12">
        <f t="shared" si="3"/>
        <v>231</v>
      </c>
      <c r="Q10" s="12">
        <f t="shared" si="4"/>
        <v>385</v>
      </c>
      <c r="R10" s="13">
        <f t="shared" si="6"/>
        <v>1701</v>
      </c>
      <c r="S10" s="13">
        <f t="shared" si="7"/>
        <v>231</v>
      </c>
      <c r="T10" s="11">
        <f t="shared" si="8"/>
        <v>1470</v>
      </c>
      <c r="U10" s="2"/>
      <c r="V10" s="3"/>
    </row>
    <row r="11" spans="1:22" x14ac:dyDescent="0.3">
      <c r="A11" s="142">
        <v>8</v>
      </c>
      <c r="B11" s="16">
        <f t="shared" si="9"/>
        <v>8</v>
      </c>
      <c r="C11" s="12">
        <f t="shared" si="10"/>
        <v>560</v>
      </c>
      <c r="D11" s="12">
        <f t="shared" si="0"/>
        <v>1440</v>
      </c>
      <c r="E11" s="12">
        <f t="shared" si="18"/>
        <v>240</v>
      </c>
      <c r="F11" s="12">
        <f t="shared" si="1"/>
        <v>400</v>
      </c>
      <c r="G11" s="12">
        <f t="shared" si="11"/>
        <v>673.33</v>
      </c>
      <c r="H11" s="13">
        <f t="shared" si="12"/>
        <v>684.76</v>
      </c>
      <c r="I11" s="13">
        <f t="shared" si="13"/>
        <v>635.75</v>
      </c>
      <c r="J11" s="13">
        <f t="shared" si="14"/>
        <v>575.75</v>
      </c>
      <c r="K11" s="13">
        <f t="shared" si="15"/>
        <v>617</v>
      </c>
      <c r="L11" s="13">
        <f t="shared" si="16"/>
        <v>664.9</v>
      </c>
      <c r="M11" s="13">
        <f t="shared" si="17"/>
        <v>919</v>
      </c>
      <c r="N11" s="12">
        <f t="shared" si="5"/>
        <v>616</v>
      </c>
      <c r="O11" s="12">
        <f t="shared" si="2"/>
        <v>1944</v>
      </c>
      <c r="P11" s="12">
        <f t="shared" si="3"/>
        <v>264</v>
      </c>
      <c r="Q11" s="12">
        <f t="shared" si="4"/>
        <v>440</v>
      </c>
      <c r="R11" s="13">
        <f t="shared" si="6"/>
        <v>1944</v>
      </c>
      <c r="S11" s="13">
        <f t="shared" si="7"/>
        <v>264</v>
      </c>
      <c r="T11" s="11">
        <f t="shared" si="8"/>
        <v>1680</v>
      </c>
      <c r="U11" s="2"/>
      <c r="V11" s="3"/>
    </row>
    <row r="12" spans="1:22" x14ac:dyDescent="0.3">
      <c r="A12" s="142">
        <v>9</v>
      </c>
      <c r="B12" s="16">
        <f t="shared" si="9"/>
        <v>9</v>
      </c>
      <c r="C12" s="12">
        <f t="shared" si="10"/>
        <v>630</v>
      </c>
      <c r="D12" s="12">
        <f t="shared" si="0"/>
        <v>1620</v>
      </c>
      <c r="E12" s="12">
        <f t="shared" si="18"/>
        <v>270</v>
      </c>
      <c r="F12" s="12">
        <f t="shared" si="1"/>
        <v>450</v>
      </c>
      <c r="G12" s="12">
        <f t="shared" si="11"/>
        <v>756.59</v>
      </c>
      <c r="H12" s="13">
        <f t="shared" si="12"/>
        <v>769.34</v>
      </c>
      <c r="I12" s="13">
        <f t="shared" si="13"/>
        <v>714.75</v>
      </c>
      <c r="J12" s="13">
        <f t="shared" si="14"/>
        <v>647.25</v>
      </c>
      <c r="K12" s="13">
        <f t="shared" si="15"/>
        <v>693.5</v>
      </c>
      <c r="L12" s="13">
        <f t="shared" si="16"/>
        <v>747.52</v>
      </c>
      <c r="M12" s="13">
        <f t="shared" si="17"/>
        <v>1033.5</v>
      </c>
      <c r="N12" s="12">
        <f t="shared" si="5"/>
        <v>693</v>
      </c>
      <c r="O12" s="12">
        <f t="shared" si="2"/>
        <v>2187</v>
      </c>
      <c r="P12" s="12">
        <f t="shared" si="3"/>
        <v>297</v>
      </c>
      <c r="Q12" s="12">
        <f t="shared" si="4"/>
        <v>495</v>
      </c>
      <c r="R12" s="13">
        <f t="shared" si="6"/>
        <v>2187</v>
      </c>
      <c r="S12" s="13">
        <f t="shared" si="7"/>
        <v>297</v>
      </c>
      <c r="T12" s="11">
        <f t="shared" si="8"/>
        <v>1890</v>
      </c>
      <c r="U12" s="2"/>
      <c r="V12" s="3"/>
    </row>
    <row r="13" spans="1:22" x14ac:dyDescent="0.3">
      <c r="A13" s="142">
        <v>10</v>
      </c>
      <c r="B13" s="16">
        <f t="shared" si="9"/>
        <v>10</v>
      </c>
      <c r="C13" s="12">
        <f t="shared" si="10"/>
        <v>700</v>
      </c>
      <c r="D13" s="12">
        <f t="shared" si="0"/>
        <v>1800</v>
      </c>
      <c r="E13" s="12">
        <f t="shared" si="18"/>
        <v>300</v>
      </c>
      <c r="F13" s="12">
        <f t="shared" si="1"/>
        <v>500</v>
      </c>
      <c r="G13" s="12">
        <f t="shared" si="11"/>
        <v>839.85</v>
      </c>
      <c r="H13" s="13">
        <f t="shared" si="12"/>
        <v>853.92000000000007</v>
      </c>
      <c r="I13" s="13">
        <f t="shared" si="13"/>
        <v>793.75</v>
      </c>
      <c r="J13" s="13">
        <f t="shared" si="14"/>
        <v>718.75</v>
      </c>
      <c r="K13" s="13">
        <f t="shared" si="15"/>
        <v>770</v>
      </c>
      <c r="L13" s="13">
        <f t="shared" si="16"/>
        <v>830.14</v>
      </c>
      <c r="M13" s="13">
        <f t="shared" si="17"/>
        <v>1148</v>
      </c>
      <c r="N13" s="12">
        <f t="shared" si="5"/>
        <v>770</v>
      </c>
      <c r="O13" s="12">
        <f t="shared" si="2"/>
        <v>2430</v>
      </c>
      <c r="P13" s="12">
        <f t="shared" si="3"/>
        <v>330</v>
      </c>
      <c r="Q13" s="12">
        <f t="shared" si="4"/>
        <v>550</v>
      </c>
      <c r="R13" s="13">
        <f t="shared" si="6"/>
        <v>2430</v>
      </c>
      <c r="S13" s="13">
        <f t="shared" si="7"/>
        <v>330</v>
      </c>
      <c r="T13" s="11">
        <f t="shared" si="8"/>
        <v>2100</v>
      </c>
      <c r="U13" s="2"/>
      <c r="V13" s="3"/>
    </row>
    <row r="14" spans="1:22" x14ac:dyDescent="0.3">
      <c r="A14" s="142">
        <v>11</v>
      </c>
      <c r="B14" s="16">
        <f t="shared" si="9"/>
        <v>11</v>
      </c>
      <c r="C14" s="12">
        <f t="shared" si="10"/>
        <v>770</v>
      </c>
      <c r="D14" s="12">
        <f t="shared" si="0"/>
        <v>1980</v>
      </c>
      <c r="E14" s="12">
        <f t="shared" si="18"/>
        <v>330</v>
      </c>
      <c r="F14" s="12">
        <f t="shared" si="1"/>
        <v>550</v>
      </c>
      <c r="G14" s="12">
        <f t="shared" si="11"/>
        <v>923.11</v>
      </c>
      <c r="H14" s="13">
        <f t="shared" si="12"/>
        <v>938.50000000000011</v>
      </c>
      <c r="I14" s="13">
        <f t="shared" si="13"/>
        <v>872.75</v>
      </c>
      <c r="J14" s="13">
        <f t="shared" si="14"/>
        <v>790.25</v>
      </c>
      <c r="K14" s="13">
        <f t="shared" si="15"/>
        <v>846.5</v>
      </c>
      <c r="L14" s="13">
        <f t="shared" si="16"/>
        <v>912.76</v>
      </c>
      <c r="M14" s="13">
        <f t="shared" si="17"/>
        <v>1262.5</v>
      </c>
      <c r="N14" s="12">
        <f t="shared" si="5"/>
        <v>847</v>
      </c>
      <c r="O14" s="12">
        <f t="shared" si="2"/>
        <v>2673</v>
      </c>
      <c r="P14" s="12">
        <f t="shared" si="3"/>
        <v>363</v>
      </c>
      <c r="Q14" s="12">
        <f t="shared" si="4"/>
        <v>605</v>
      </c>
      <c r="R14" s="13">
        <f t="shared" si="6"/>
        <v>2673</v>
      </c>
      <c r="S14" s="13">
        <f t="shared" si="7"/>
        <v>363</v>
      </c>
      <c r="T14" s="11">
        <f t="shared" si="8"/>
        <v>2310</v>
      </c>
      <c r="U14" s="2"/>
      <c r="V14" s="3"/>
    </row>
    <row r="15" spans="1:22" x14ac:dyDescent="0.3">
      <c r="A15" s="142">
        <v>12</v>
      </c>
      <c r="B15" s="16">
        <f t="shared" si="9"/>
        <v>12</v>
      </c>
      <c r="C15" s="12">
        <f t="shared" si="10"/>
        <v>840</v>
      </c>
      <c r="D15" s="12">
        <f t="shared" si="0"/>
        <v>2160</v>
      </c>
      <c r="E15" s="12">
        <f t="shared" si="18"/>
        <v>360</v>
      </c>
      <c r="F15" s="12">
        <f t="shared" si="1"/>
        <v>600</v>
      </c>
      <c r="G15" s="12">
        <f t="shared" si="11"/>
        <v>1006.37</v>
      </c>
      <c r="H15" s="13">
        <f t="shared" si="12"/>
        <v>1023.0800000000002</v>
      </c>
      <c r="I15" s="13">
        <f t="shared" si="13"/>
        <v>951.75</v>
      </c>
      <c r="J15" s="13">
        <f t="shared" si="14"/>
        <v>861.75</v>
      </c>
      <c r="K15" s="13">
        <f t="shared" si="15"/>
        <v>923</v>
      </c>
      <c r="L15" s="13">
        <f t="shared" si="16"/>
        <v>995.38</v>
      </c>
      <c r="M15" s="13">
        <f t="shared" si="17"/>
        <v>1377</v>
      </c>
      <c r="N15" s="12">
        <f t="shared" si="5"/>
        <v>924</v>
      </c>
      <c r="O15" s="12">
        <f t="shared" si="2"/>
        <v>2916</v>
      </c>
      <c r="P15" s="12">
        <f t="shared" si="3"/>
        <v>396</v>
      </c>
      <c r="Q15" s="12">
        <f t="shared" si="4"/>
        <v>660</v>
      </c>
      <c r="R15" s="13">
        <f t="shared" si="6"/>
        <v>2916</v>
      </c>
      <c r="S15" s="13">
        <f t="shared" si="7"/>
        <v>396</v>
      </c>
      <c r="T15" s="11">
        <f t="shared" si="8"/>
        <v>2520</v>
      </c>
      <c r="U15" s="2"/>
      <c r="V15" s="3"/>
    </row>
    <row r="16" spans="1:22" x14ac:dyDescent="0.3">
      <c r="A16" s="142">
        <v>13</v>
      </c>
      <c r="B16" s="16">
        <f t="shared" si="9"/>
        <v>13</v>
      </c>
      <c r="C16" s="12">
        <f t="shared" si="10"/>
        <v>910</v>
      </c>
      <c r="D16" s="12">
        <f t="shared" si="0"/>
        <v>2340</v>
      </c>
      <c r="E16" s="12">
        <f t="shared" si="18"/>
        <v>390</v>
      </c>
      <c r="F16" s="12">
        <f t="shared" si="1"/>
        <v>650</v>
      </c>
      <c r="G16" s="12">
        <f t="shared" si="11"/>
        <v>1089.6300000000001</v>
      </c>
      <c r="H16" s="13">
        <f t="shared" si="12"/>
        <v>1107.6600000000001</v>
      </c>
      <c r="I16" s="13">
        <f t="shared" si="13"/>
        <v>1030.75</v>
      </c>
      <c r="J16" s="13">
        <f t="shared" si="14"/>
        <v>933.25</v>
      </c>
      <c r="K16" s="13">
        <f t="shared" si="15"/>
        <v>999.5</v>
      </c>
      <c r="L16" s="13">
        <f t="shared" si="16"/>
        <v>1078</v>
      </c>
      <c r="M16" s="13">
        <f t="shared" si="17"/>
        <v>1491.5</v>
      </c>
      <c r="N16" s="12">
        <f t="shared" si="5"/>
        <v>1001</v>
      </c>
      <c r="O16" s="12">
        <f t="shared" si="2"/>
        <v>3159</v>
      </c>
      <c r="P16" s="12">
        <f t="shared" si="3"/>
        <v>429</v>
      </c>
      <c r="Q16" s="12">
        <f t="shared" si="4"/>
        <v>715</v>
      </c>
      <c r="R16" s="13">
        <f t="shared" si="6"/>
        <v>3159</v>
      </c>
      <c r="S16" s="13">
        <f t="shared" si="7"/>
        <v>429</v>
      </c>
      <c r="T16" s="11">
        <f t="shared" si="8"/>
        <v>2730</v>
      </c>
      <c r="U16" s="2"/>
      <c r="V16" s="3"/>
    </row>
    <row r="17" spans="1:22" x14ac:dyDescent="0.3">
      <c r="A17" s="142">
        <v>14</v>
      </c>
      <c r="B17" s="16">
        <f t="shared" si="9"/>
        <v>14</v>
      </c>
      <c r="C17" s="12">
        <f t="shared" si="10"/>
        <v>980</v>
      </c>
      <c r="D17" s="12">
        <f t="shared" si="0"/>
        <v>2520</v>
      </c>
      <c r="E17" s="12">
        <f t="shared" si="18"/>
        <v>420</v>
      </c>
      <c r="F17" s="12">
        <f t="shared" si="1"/>
        <v>700</v>
      </c>
      <c r="G17" s="12">
        <f t="shared" si="11"/>
        <v>1172.8900000000001</v>
      </c>
      <c r="H17" s="13">
        <f t="shared" si="12"/>
        <v>1192.24</v>
      </c>
      <c r="I17" s="13">
        <f t="shared" si="13"/>
        <v>1109.75</v>
      </c>
      <c r="J17" s="13">
        <f t="shared" si="14"/>
        <v>1004.75</v>
      </c>
      <c r="K17" s="13">
        <f t="shared" si="15"/>
        <v>1076</v>
      </c>
      <c r="L17" s="13">
        <f t="shared" si="16"/>
        <v>1160.6199999999999</v>
      </c>
      <c r="M17" s="13">
        <f t="shared" si="17"/>
        <v>1606</v>
      </c>
      <c r="N17" s="12">
        <f t="shared" si="5"/>
        <v>1078</v>
      </c>
      <c r="O17" s="12">
        <f t="shared" si="2"/>
        <v>3402</v>
      </c>
      <c r="P17" s="12">
        <f t="shared" si="3"/>
        <v>462</v>
      </c>
      <c r="Q17" s="12">
        <f t="shared" si="4"/>
        <v>770</v>
      </c>
      <c r="R17" s="13">
        <f t="shared" si="6"/>
        <v>3402</v>
      </c>
      <c r="S17" s="13">
        <f t="shared" si="7"/>
        <v>462</v>
      </c>
      <c r="T17" s="11">
        <f t="shared" si="8"/>
        <v>2940</v>
      </c>
      <c r="U17" s="2"/>
      <c r="V17" s="3"/>
    </row>
    <row r="18" spans="1:22" x14ac:dyDescent="0.3">
      <c r="A18" s="142">
        <v>15</v>
      </c>
      <c r="B18" s="16">
        <f t="shared" si="9"/>
        <v>15</v>
      </c>
      <c r="C18" s="12">
        <f t="shared" si="10"/>
        <v>1050</v>
      </c>
      <c r="D18" s="12">
        <f t="shared" si="0"/>
        <v>2700</v>
      </c>
      <c r="E18" s="12">
        <f t="shared" si="18"/>
        <v>450</v>
      </c>
      <c r="F18" s="12">
        <f t="shared" si="1"/>
        <v>750</v>
      </c>
      <c r="G18" s="12">
        <f t="shared" si="11"/>
        <v>1256.1500000000001</v>
      </c>
      <c r="H18" s="13">
        <f t="shared" si="12"/>
        <v>1276.82</v>
      </c>
      <c r="I18" s="13">
        <f t="shared" si="13"/>
        <v>1188.75</v>
      </c>
      <c r="J18" s="13">
        <f t="shared" si="14"/>
        <v>1076.25</v>
      </c>
      <c r="K18" s="13">
        <f t="shared" si="15"/>
        <v>1152.5</v>
      </c>
      <c r="L18" s="13">
        <f t="shared" si="16"/>
        <v>1243.2399999999998</v>
      </c>
      <c r="M18" s="13">
        <f t="shared" si="17"/>
        <v>1720.5</v>
      </c>
      <c r="N18" s="12">
        <f t="shared" si="5"/>
        <v>1155</v>
      </c>
      <c r="O18" s="12">
        <f t="shared" si="2"/>
        <v>3645</v>
      </c>
      <c r="P18" s="12">
        <f t="shared" si="3"/>
        <v>495</v>
      </c>
      <c r="Q18" s="12">
        <f t="shared" si="4"/>
        <v>825</v>
      </c>
      <c r="R18" s="13">
        <f t="shared" si="6"/>
        <v>3645</v>
      </c>
      <c r="S18" s="13">
        <f t="shared" si="7"/>
        <v>495</v>
      </c>
      <c r="T18" s="11">
        <f t="shared" si="8"/>
        <v>3150</v>
      </c>
      <c r="U18" s="2"/>
      <c r="V18" s="3"/>
    </row>
    <row r="19" spans="1:22" x14ac:dyDescent="0.3">
      <c r="A19" s="142">
        <v>16</v>
      </c>
      <c r="B19" s="16">
        <f t="shared" si="9"/>
        <v>16</v>
      </c>
      <c r="C19" s="12">
        <f t="shared" si="10"/>
        <v>1120</v>
      </c>
      <c r="D19" s="12">
        <f t="shared" si="0"/>
        <v>2880</v>
      </c>
      <c r="E19" s="12">
        <f t="shared" si="18"/>
        <v>480</v>
      </c>
      <c r="F19" s="12">
        <f t="shared" si="1"/>
        <v>800</v>
      </c>
      <c r="G19" s="12">
        <f t="shared" si="11"/>
        <v>1339.41</v>
      </c>
      <c r="H19" s="13">
        <f t="shared" si="12"/>
        <v>1361.3999999999999</v>
      </c>
      <c r="I19" s="13">
        <f t="shared" si="13"/>
        <v>1267.75</v>
      </c>
      <c r="J19" s="13">
        <f t="shared" si="14"/>
        <v>1147.75</v>
      </c>
      <c r="K19" s="13">
        <f t="shared" si="15"/>
        <v>1229</v>
      </c>
      <c r="L19" s="13">
        <f t="shared" si="16"/>
        <v>1325.8599999999997</v>
      </c>
      <c r="M19" s="13">
        <f t="shared" si="17"/>
        <v>1835</v>
      </c>
      <c r="N19" s="12">
        <f t="shared" si="5"/>
        <v>1232</v>
      </c>
      <c r="O19" s="12">
        <f t="shared" si="2"/>
        <v>3888</v>
      </c>
      <c r="P19" s="12">
        <f t="shared" si="3"/>
        <v>528</v>
      </c>
      <c r="Q19" s="12">
        <f t="shared" si="4"/>
        <v>880</v>
      </c>
      <c r="R19" s="13">
        <f t="shared" si="6"/>
        <v>3888</v>
      </c>
      <c r="S19" s="13">
        <f t="shared" si="7"/>
        <v>528</v>
      </c>
      <c r="T19" s="11">
        <f t="shared" si="8"/>
        <v>3360</v>
      </c>
      <c r="U19" s="2"/>
      <c r="V19" s="3"/>
    </row>
    <row r="20" spans="1:22" x14ac:dyDescent="0.3">
      <c r="A20" s="142">
        <v>17</v>
      </c>
      <c r="B20" s="16">
        <f t="shared" si="9"/>
        <v>17</v>
      </c>
      <c r="C20" s="12">
        <f t="shared" si="10"/>
        <v>1190</v>
      </c>
      <c r="D20" s="12">
        <f t="shared" si="0"/>
        <v>3060</v>
      </c>
      <c r="E20" s="12">
        <f t="shared" si="18"/>
        <v>510</v>
      </c>
      <c r="F20" s="12">
        <f t="shared" si="1"/>
        <v>850</v>
      </c>
      <c r="G20" s="12">
        <f t="shared" si="11"/>
        <v>1422.67</v>
      </c>
      <c r="H20" s="13">
        <f t="shared" si="12"/>
        <v>1445.9799999999998</v>
      </c>
      <c r="I20" s="13">
        <f t="shared" si="13"/>
        <v>1346.75</v>
      </c>
      <c r="J20" s="13">
        <f t="shared" si="14"/>
        <v>1219.25</v>
      </c>
      <c r="K20" s="13">
        <f t="shared" si="15"/>
        <v>1305.5</v>
      </c>
      <c r="L20" s="13">
        <f t="shared" si="16"/>
        <v>1408.4799999999996</v>
      </c>
      <c r="M20" s="13">
        <f t="shared" si="17"/>
        <v>1949.5</v>
      </c>
      <c r="N20" s="12">
        <f t="shared" si="5"/>
        <v>1309</v>
      </c>
      <c r="O20" s="12">
        <f t="shared" si="2"/>
        <v>4131</v>
      </c>
      <c r="P20" s="12">
        <f t="shared" si="3"/>
        <v>561</v>
      </c>
      <c r="Q20" s="12">
        <f t="shared" si="4"/>
        <v>935</v>
      </c>
      <c r="R20" s="13">
        <f t="shared" si="6"/>
        <v>4131</v>
      </c>
      <c r="S20" s="13">
        <f t="shared" si="7"/>
        <v>561</v>
      </c>
      <c r="T20" s="11">
        <f t="shared" si="8"/>
        <v>3570</v>
      </c>
      <c r="U20" s="2"/>
      <c r="V20" s="3"/>
    </row>
    <row r="21" spans="1:22" x14ac:dyDescent="0.3">
      <c r="A21" s="142">
        <v>18</v>
      </c>
      <c r="B21" s="16">
        <f t="shared" si="9"/>
        <v>18</v>
      </c>
      <c r="C21" s="12">
        <f t="shared" si="10"/>
        <v>1260</v>
      </c>
      <c r="D21" s="12">
        <f t="shared" si="0"/>
        <v>3240</v>
      </c>
      <c r="E21" s="12">
        <f t="shared" si="18"/>
        <v>540</v>
      </c>
      <c r="F21" s="12">
        <f t="shared" si="1"/>
        <v>900</v>
      </c>
      <c r="G21" s="12">
        <f t="shared" si="11"/>
        <v>1505.93</v>
      </c>
      <c r="H21" s="13">
        <f t="shared" si="12"/>
        <v>1530.5599999999997</v>
      </c>
      <c r="I21" s="13">
        <f t="shared" si="13"/>
        <v>1425.75</v>
      </c>
      <c r="J21" s="13">
        <f t="shared" si="14"/>
        <v>1290.75</v>
      </c>
      <c r="K21" s="13">
        <f t="shared" si="15"/>
        <v>1382</v>
      </c>
      <c r="L21" s="13">
        <f t="shared" si="16"/>
        <v>1491.0999999999995</v>
      </c>
      <c r="M21" s="13">
        <f t="shared" si="17"/>
        <v>2064</v>
      </c>
      <c r="N21" s="12">
        <f t="shared" si="5"/>
        <v>1386</v>
      </c>
      <c r="O21" s="12">
        <f t="shared" si="2"/>
        <v>4374</v>
      </c>
      <c r="P21" s="12">
        <f t="shared" si="3"/>
        <v>594</v>
      </c>
      <c r="Q21" s="12">
        <f t="shared" si="4"/>
        <v>990</v>
      </c>
      <c r="R21" s="13">
        <f t="shared" si="6"/>
        <v>4374</v>
      </c>
      <c r="S21" s="13">
        <f t="shared" si="7"/>
        <v>594</v>
      </c>
      <c r="T21" s="11">
        <f t="shared" si="8"/>
        <v>3780</v>
      </c>
      <c r="U21" s="2"/>
      <c r="V21" s="3"/>
    </row>
    <row r="22" spans="1:22" x14ac:dyDescent="0.3">
      <c r="A22" s="142">
        <v>19</v>
      </c>
      <c r="B22" s="16">
        <f t="shared" si="9"/>
        <v>19</v>
      </c>
      <c r="C22" s="12">
        <f t="shared" si="10"/>
        <v>1330</v>
      </c>
      <c r="D22" s="12">
        <f t="shared" si="0"/>
        <v>3420</v>
      </c>
      <c r="E22" s="12">
        <f t="shared" si="18"/>
        <v>570</v>
      </c>
      <c r="F22" s="12">
        <f t="shared" si="1"/>
        <v>950</v>
      </c>
      <c r="G22" s="12">
        <f t="shared" si="11"/>
        <v>1589.19</v>
      </c>
      <c r="H22" s="13">
        <f t="shared" si="12"/>
        <v>1615.1399999999996</v>
      </c>
      <c r="I22" s="13">
        <f t="shared" si="13"/>
        <v>1504.75</v>
      </c>
      <c r="J22" s="13">
        <f t="shared" si="14"/>
        <v>1362.25</v>
      </c>
      <c r="K22" s="13">
        <f t="shared" si="15"/>
        <v>1458.5</v>
      </c>
      <c r="L22" s="13">
        <f t="shared" si="16"/>
        <v>1573.7199999999993</v>
      </c>
      <c r="M22" s="13">
        <f t="shared" si="17"/>
        <v>2178.5</v>
      </c>
      <c r="N22" s="12">
        <f t="shared" si="5"/>
        <v>1463</v>
      </c>
      <c r="O22" s="12">
        <f t="shared" si="2"/>
        <v>4617</v>
      </c>
      <c r="P22" s="12">
        <f t="shared" si="3"/>
        <v>627</v>
      </c>
      <c r="Q22" s="12">
        <f t="shared" si="4"/>
        <v>1045</v>
      </c>
      <c r="R22" s="13">
        <f t="shared" si="6"/>
        <v>4617</v>
      </c>
      <c r="S22" s="13">
        <f t="shared" si="7"/>
        <v>627</v>
      </c>
      <c r="T22" s="11">
        <f t="shared" si="8"/>
        <v>3990</v>
      </c>
      <c r="U22" s="2"/>
      <c r="V22" s="3"/>
    </row>
    <row r="23" spans="1:22" x14ac:dyDescent="0.3">
      <c r="A23" s="142">
        <v>20</v>
      </c>
      <c r="B23" s="16">
        <f t="shared" si="9"/>
        <v>20</v>
      </c>
      <c r="C23" s="12">
        <f t="shared" si="10"/>
        <v>1400</v>
      </c>
      <c r="D23" s="12">
        <f t="shared" si="0"/>
        <v>3600</v>
      </c>
      <c r="E23" s="12">
        <f t="shared" si="18"/>
        <v>600</v>
      </c>
      <c r="F23" s="12">
        <f t="shared" si="1"/>
        <v>1000</v>
      </c>
      <c r="G23" s="12">
        <f t="shared" si="11"/>
        <v>1672.45</v>
      </c>
      <c r="H23" s="13">
        <f t="shared" si="12"/>
        <v>1699.7199999999996</v>
      </c>
      <c r="I23" s="13">
        <f t="shared" si="13"/>
        <v>1583.75</v>
      </c>
      <c r="J23" s="13">
        <f t="shared" si="14"/>
        <v>1433.75</v>
      </c>
      <c r="K23" s="13">
        <f t="shared" si="15"/>
        <v>1535</v>
      </c>
      <c r="L23" s="13">
        <f t="shared" si="16"/>
        <v>1656.3399999999992</v>
      </c>
      <c r="M23" s="13">
        <f t="shared" si="17"/>
        <v>2293</v>
      </c>
      <c r="N23" s="12">
        <f t="shared" si="5"/>
        <v>1540</v>
      </c>
      <c r="O23" s="12">
        <f t="shared" si="2"/>
        <v>4860</v>
      </c>
      <c r="P23" s="12">
        <f t="shared" si="3"/>
        <v>660</v>
      </c>
      <c r="Q23" s="12">
        <f t="shared" si="4"/>
        <v>1100</v>
      </c>
      <c r="R23" s="13">
        <f t="shared" si="6"/>
        <v>4860</v>
      </c>
      <c r="S23" s="13">
        <f t="shared" si="7"/>
        <v>660</v>
      </c>
      <c r="T23" s="11">
        <f t="shared" si="8"/>
        <v>4200</v>
      </c>
      <c r="U23" s="2"/>
      <c r="V23" s="3"/>
    </row>
    <row r="24" spans="1:22" x14ac:dyDescent="0.3">
      <c r="A24" s="142">
        <v>21</v>
      </c>
      <c r="B24" s="16">
        <f t="shared" si="9"/>
        <v>21</v>
      </c>
      <c r="C24" s="12">
        <f t="shared" si="10"/>
        <v>1470</v>
      </c>
      <c r="D24" s="12">
        <f t="shared" si="0"/>
        <v>3780</v>
      </c>
      <c r="E24" s="12">
        <f t="shared" si="18"/>
        <v>630</v>
      </c>
      <c r="F24" s="12">
        <f t="shared" si="1"/>
        <v>1050</v>
      </c>
      <c r="G24" s="12">
        <f t="shared" si="11"/>
        <v>1755.71</v>
      </c>
      <c r="H24" s="13">
        <f t="shared" si="12"/>
        <v>1784.2999999999995</v>
      </c>
      <c r="I24" s="13">
        <f t="shared" si="13"/>
        <v>1662.75</v>
      </c>
      <c r="J24" s="13">
        <f t="shared" si="14"/>
        <v>1505.25</v>
      </c>
      <c r="K24" s="13">
        <f t="shared" si="15"/>
        <v>1611.5</v>
      </c>
      <c r="L24" s="13">
        <f t="shared" si="16"/>
        <v>1738.9599999999991</v>
      </c>
      <c r="M24" s="13">
        <f t="shared" si="17"/>
        <v>2407.5</v>
      </c>
      <c r="N24" s="12">
        <f t="shared" si="5"/>
        <v>1617</v>
      </c>
      <c r="O24" s="12">
        <f t="shared" si="2"/>
        <v>5103</v>
      </c>
      <c r="P24" s="12">
        <f t="shared" si="3"/>
        <v>693</v>
      </c>
      <c r="Q24" s="12">
        <f t="shared" si="4"/>
        <v>1155</v>
      </c>
      <c r="R24" s="13">
        <f t="shared" si="6"/>
        <v>5103</v>
      </c>
      <c r="S24" s="13">
        <f t="shared" si="7"/>
        <v>693</v>
      </c>
      <c r="T24" s="11">
        <f t="shared" si="8"/>
        <v>4410</v>
      </c>
      <c r="U24" s="2"/>
      <c r="V24" s="3"/>
    </row>
    <row r="25" spans="1:22" x14ac:dyDescent="0.3">
      <c r="A25" s="142">
        <v>22</v>
      </c>
      <c r="B25" s="16">
        <f t="shared" si="9"/>
        <v>22</v>
      </c>
      <c r="C25" s="12">
        <f t="shared" si="10"/>
        <v>1540</v>
      </c>
      <c r="D25" s="12">
        <f t="shared" si="0"/>
        <v>3960</v>
      </c>
      <c r="E25" s="12">
        <f t="shared" si="18"/>
        <v>660</v>
      </c>
      <c r="F25" s="12">
        <f t="shared" si="1"/>
        <v>1100</v>
      </c>
      <c r="G25" s="12">
        <f t="shared" si="11"/>
        <v>1838.97</v>
      </c>
      <c r="H25" s="13">
        <f t="shared" si="12"/>
        <v>1868.8799999999994</v>
      </c>
      <c r="I25" s="13">
        <f t="shared" si="13"/>
        <v>1741.75</v>
      </c>
      <c r="J25" s="13">
        <f t="shared" si="14"/>
        <v>1576.75</v>
      </c>
      <c r="K25" s="13">
        <f t="shared" si="15"/>
        <v>1688</v>
      </c>
      <c r="L25" s="13">
        <f t="shared" si="16"/>
        <v>1821.579999999999</v>
      </c>
      <c r="M25" s="13">
        <f t="shared" si="17"/>
        <v>2522</v>
      </c>
      <c r="N25" s="12">
        <f t="shared" si="5"/>
        <v>1694</v>
      </c>
      <c r="O25" s="12">
        <f t="shared" si="2"/>
        <v>5346</v>
      </c>
      <c r="P25" s="12">
        <f t="shared" si="3"/>
        <v>726</v>
      </c>
      <c r="Q25" s="12">
        <f t="shared" si="4"/>
        <v>1210</v>
      </c>
      <c r="R25" s="13">
        <f t="shared" si="6"/>
        <v>5346</v>
      </c>
      <c r="S25" s="13">
        <f t="shared" si="7"/>
        <v>726</v>
      </c>
      <c r="T25" s="11">
        <f t="shared" si="8"/>
        <v>4620</v>
      </c>
      <c r="U25" s="2"/>
      <c r="V25" s="3"/>
    </row>
    <row r="26" spans="1:22" x14ac:dyDescent="0.3">
      <c r="A26" s="142">
        <v>23</v>
      </c>
      <c r="B26" s="16">
        <f t="shared" si="9"/>
        <v>23</v>
      </c>
      <c r="C26" s="12">
        <f t="shared" si="10"/>
        <v>1610</v>
      </c>
      <c r="D26" s="12">
        <f t="shared" si="0"/>
        <v>4140</v>
      </c>
      <c r="E26" s="12">
        <f t="shared" si="18"/>
        <v>690</v>
      </c>
      <c r="F26" s="12">
        <f t="shared" si="1"/>
        <v>1150</v>
      </c>
      <c r="G26" s="12">
        <f t="shared" si="11"/>
        <v>1922.23</v>
      </c>
      <c r="H26" s="13">
        <f t="shared" si="12"/>
        <v>1953.4599999999994</v>
      </c>
      <c r="I26" s="13">
        <f t="shared" si="13"/>
        <v>1820.75</v>
      </c>
      <c r="J26" s="13">
        <f t="shared" si="14"/>
        <v>1648.25</v>
      </c>
      <c r="K26" s="13">
        <f t="shared" si="15"/>
        <v>1764.5</v>
      </c>
      <c r="L26" s="13">
        <f t="shared" si="16"/>
        <v>1904.1999999999989</v>
      </c>
      <c r="M26" s="13">
        <f t="shared" si="17"/>
        <v>2636.5</v>
      </c>
      <c r="N26" s="12">
        <f t="shared" si="5"/>
        <v>1771</v>
      </c>
      <c r="O26" s="12">
        <f t="shared" si="2"/>
        <v>5589</v>
      </c>
      <c r="P26" s="12">
        <f t="shared" si="3"/>
        <v>759</v>
      </c>
      <c r="Q26" s="12">
        <f t="shared" si="4"/>
        <v>1265</v>
      </c>
      <c r="R26" s="13">
        <f t="shared" si="6"/>
        <v>5589</v>
      </c>
      <c r="S26" s="13">
        <f t="shared" si="7"/>
        <v>759</v>
      </c>
      <c r="T26" s="11">
        <f t="shared" si="8"/>
        <v>4830</v>
      </c>
      <c r="U26" s="2"/>
      <c r="V26" s="3"/>
    </row>
    <row r="27" spans="1:22" x14ac:dyDescent="0.3">
      <c r="A27" s="142">
        <v>24</v>
      </c>
      <c r="B27" s="16">
        <f t="shared" si="9"/>
        <v>24</v>
      </c>
      <c r="C27" s="12">
        <f t="shared" si="10"/>
        <v>1680</v>
      </c>
      <c r="D27" s="12">
        <f t="shared" si="0"/>
        <v>4320</v>
      </c>
      <c r="E27" s="12">
        <f t="shared" si="18"/>
        <v>720</v>
      </c>
      <c r="F27" s="12">
        <f t="shared" si="1"/>
        <v>1200</v>
      </c>
      <c r="G27" s="12">
        <f t="shared" si="11"/>
        <v>2005.49</v>
      </c>
      <c r="H27" s="13">
        <f t="shared" si="12"/>
        <v>2038.0399999999993</v>
      </c>
      <c r="I27" s="13">
        <f t="shared" si="13"/>
        <v>1899.75</v>
      </c>
      <c r="J27" s="13">
        <f t="shared" si="14"/>
        <v>1719.75</v>
      </c>
      <c r="K27" s="13">
        <f t="shared" si="15"/>
        <v>1841</v>
      </c>
      <c r="L27" s="13">
        <f t="shared" si="16"/>
        <v>1986.8199999999988</v>
      </c>
      <c r="M27" s="13">
        <f t="shared" si="17"/>
        <v>2751</v>
      </c>
      <c r="N27" s="12">
        <f t="shared" si="5"/>
        <v>1848</v>
      </c>
      <c r="O27" s="12">
        <f t="shared" si="2"/>
        <v>5832</v>
      </c>
      <c r="P27" s="12">
        <f t="shared" si="3"/>
        <v>792</v>
      </c>
      <c r="Q27" s="12">
        <f t="shared" si="4"/>
        <v>1320</v>
      </c>
      <c r="R27" s="13">
        <f t="shared" si="6"/>
        <v>5832</v>
      </c>
      <c r="S27" s="13">
        <f t="shared" si="7"/>
        <v>792</v>
      </c>
      <c r="T27" s="11">
        <f t="shared" si="8"/>
        <v>5040</v>
      </c>
      <c r="U27" s="2"/>
      <c r="V27" s="3"/>
    </row>
    <row r="28" spans="1:22" x14ac:dyDescent="0.3">
      <c r="A28" s="142">
        <v>25</v>
      </c>
      <c r="B28" s="16">
        <f t="shared" si="9"/>
        <v>25</v>
      </c>
      <c r="C28" s="12">
        <f t="shared" si="10"/>
        <v>1750</v>
      </c>
      <c r="D28" s="12">
        <f t="shared" si="0"/>
        <v>4500</v>
      </c>
      <c r="E28" s="12">
        <f t="shared" si="18"/>
        <v>750</v>
      </c>
      <c r="F28" s="12">
        <f t="shared" si="1"/>
        <v>1250</v>
      </c>
      <c r="G28" s="12">
        <f t="shared" si="11"/>
        <v>2088.75</v>
      </c>
      <c r="H28" s="13">
        <f t="shared" si="12"/>
        <v>2122.6199999999994</v>
      </c>
      <c r="I28" s="13">
        <f t="shared" si="13"/>
        <v>1978.75</v>
      </c>
      <c r="J28" s="13">
        <f t="shared" si="14"/>
        <v>1791.25</v>
      </c>
      <c r="K28" s="13">
        <f t="shared" si="15"/>
        <v>1917.5</v>
      </c>
      <c r="L28" s="13">
        <f t="shared" si="16"/>
        <v>2069.4399999999987</v>
      </c>
      <c r="M28" s="13">
        <f t="shared" si="17"/>
        <v>2865.5</v>
      </c>
      <c r="N28" s="12">
        <f t="shared" si="5"/>
        <v>1925</v>
      </c>
      <c r="O28" s="12">
        <f t="shared" si="2"/>
        <v>6075</v>
      </c>
      <c r="P28" s="12">
        <f t="shared" si="3"/>
        <v>825</v>
      </c>
      <c r="Q28" s="12">
        <f t="shared" si="4"/>
        <v>1375</v>
      </c>
      <c r="R28" s="13">
        <f t="shared" si="6"/>
        <v>6075</v>
      </c>
      <c r="S28" s="13">
        <f t="shared" si="7"/>
        <v>825</v>
      </c>
      <c r="T28" s="11">
        <f t="shared" si="8"/>
        <v>5250</v>
      </c>
      <c r="U28" s="2"/>
      <c r="V28" s="3"/>
    </row>
    <row r="29" spans="1:22" x14ac:dyDescent="0.3">
      <c r="A29" s="142">
        <v>26</v>
      </c>
      <c r="B29" s="16">
        <f t="shared" si="9"/>
        <v>26</v>
      </c>
      <c r="C29" s="12">
        <f t="shared" si="10"/>
        <v>1820</v>
      </c>
      <c r="D29" s="12">
        <f t="shared" si="0"/>
        <v>4680</v>
      </c>
      <c r="E29" s="12">
        <f t="shared" si="18"/>
        <v>780</v>
      </c>
      <c r="F29" s="12">
        <f t="shared" si="1"/>
        <v>1300</v>
      </c>
      <c r="G29" s="12">
        <f t="shared" si="11"/>
        <v>2172.0100000000002</v>
      </c>
      <c r="H29" s="13">
        <f t="shared" si="12"/>
        <v>2207.1999999999994</v>
      </c>
      <c r="I29" s="13">
        <f t="shared" si="13"/>
        <v>2057.75</v>
      </c>
      <c r="J29" s="13">
        <f t="shared" si="14"/>
        <v>1862.75</v>
      </c>
      <c r="K29" s="13">
        <f t="shared" si="15"/>
        <v>1994</v>
      </c>
      <c r="L29" s="13">
        <f t="shared" si="16"/>
        <v>2152.0599999999986</v>
      </c>
      <c r="M29" s="13">
        <f t="shared" si="17"/>
        <v>2980</v>
      </c>
      <c r="N29" s="12">
        <f t="shared" si="5"/>
        <v>2002</v>
      </c>
      <c r="O29" s="12">
        <f t="shared" si="2"/>
        <v>6318</v>
      </c>
      <c r="P29" s="12">
        <f t="shared" si="3"/>
        <v>858</v>
      </c>
      <c r="Q29" s="12">
        <f t="shared" si="4"/>
        <v>1430</v>
      </c>
      <c r="R29" s="13">
        <f t="shared" si="6"/>
        <v>6318</v>
      </c>
      <c r="S29" s="13">
        <f t="shared" si="7"/>
        <v>858</v>
      </c>
      <c r="T29" s="11">
        <f t="shared" si="8"/>
        <v>5460</v>
      </c>
      <c r="U29" s="2"/>
      <c r="V29" s="3"/>
    </row>
    <row r="30" spans="1:22" x14ac:dyDescent="0.3">
      <c r="A30" s="142">
        <v>27</v>
      </c>
      <c r="B30" s="16">
        <f t="shared" si="9"/>
        <v>27</v>
      </c>
      <c r="C30" s="12">
        <f t="shared" si="10"/>
        <v>1890</v>
      </c>
      <c r="D30" s="12">
        <f t="shared" si="0"/>
        <v>4860</v>
      </c>
      <c r="E30" s="12">
        <f t="shared" si="18"/>
        <v>810</v>
      </c>
      <c r="F30" s="12">
        <f t="shared" si="1"/>
        <v>1350</v>
      </c>
      <c r="G30" s="12">
        <f t="shared" si="11"/>
        <v>2255.2700000000004</v>
      </c>
      <c r="H30" s="13">
        <f t="shared" si="12"/>
        <v>2291.7799999999993</v>
      </c>
      <c r="I30" s="13">
        <f t="shared" si="13"/>
        <v>2136.75</v>
      </c>
      <c r="J30" s="13">
        <f t="shared" si="14"/>
        <v>1934.25</v>
      </c>
      <c r="K30" s="13">
        <f t="shared" si="15"/>
        <v>2070.5</v>
      </c>
      <c r="L30" s="13">
        <f t="shared" si="16"/>
        <v>2234.6799999999985</v>
      </c>
      <c r="M30" s="13">
        <f t="shared" si="17"/>
        <v>3094.5</v>
      </c>
      <c r="N30" s="12">
        <f t="shared" si="5"/>
        <v>2079</v>
      </c>
      <c r="O30" s="12">
        <f t="shared" si="2"/>
        <v>6561</v>
      </c>
      <c r="P30" s="12">
        <f t="shared" si="3"/>
        <v>891</v>
      </c>
      <c r="Q30" s="12">
        <f t="shared" si="4"/>
        <v>1485</v>
      </c>
      <c r="R30" s="13">
        <f t="shared" si="6"/>
        <v>6561</v>
      </c>
      <c r="S30" s="13">
        <f t="shared" si="7"/>
        <v>891</v>
      </c>
      <c r="T30" s="11">
        <f t="shared" si="8"/>
        <v>5670</v>
      </c>
      <c r="U30" s="2"/>
      <c r="V30" s="3"/>
    </row>
    <row r="31" spans="1:22" x14ac:dyDescent="0.3">
      <c r="A31" s="142">
        <v>28</v>
      </c>
      <c r="B31" s="16">
        <f t="shared" si="9"/>
        <v>28</v>
      </c>
      <c r="C31" s="12">
        <f t="shared" si="10"/>
        <v>1960</v>
      </c>
      <c r="D31" s="12">
        <f t="shared" si="0"/>
        <v>5040</v>
      </c>
      <c r="E31" s="12">
        <f t="shared" si="18"/>
        <v>840</v>
      </c>
      <c r="F31" s="12">
        <f t="shared" si="1"/>
        <v>1400</v>
      </c>
      <c r="G31" s="12">
        <f t="shared" si="11"/>
        <v>2338.5300000000007</v>
      </c>
      <c r="H31" s="13">
        <f t="shared" si="12"/>
        <v>2376.3599999999992</v>
      </c>
      <c r="I31" s="13">
        <f t="shared" si="13"/>
        <v>2215.75</v>
      </c>
      <c r="J31" s="13">
        <f t="shared" si="14"/>
        <v>2005.75</v>
      </c>
      <c r="K31" s="13">
        <f t="shared" si="15"/>
        <v>2147</v>
      </c>
      <c r="L31" s="13">
        <f t="shared" si="16"/>
        <v>2317.2999999999984</v>
      </c>
      <c r="M31" s="13">
        <f t="shared" si="17"/>
        <v>3209</v>
      </c>
      <c r="N31" s="12">
        <f t="shared" si="5"/>
        <v>2156</v>
      </c>
      <c r="O31" s="12">
        <f t="shared" si="2"/>
        <v>6804</v>
      </c>
      <c r="P31" s="12">
        <f t="shared" si="3"/>
        <v>924</v>
      </c>
      <c r="Q31" s="12">
        <f t="shared" si="4"/>
        <v>1540</v>
      </c>
      <c r="R31" s="13">
        <f t="shared" si="6"/>
        <v>6804</v>
      </c>
      <c r="S31" s="13">
        <f t="shared" si="7"/>
        <v>924</v>
      </c>
      <c r="T31" s="11">
        <f t="shared" si="8"/>
        <v>5880</v>
      </c>
      <c r="U31" s="2"/>
      <c r="V31" s="3"/>
    </row>
    <row r="32" spans="1:22" x14ac:dyDescent="0.3">
      <c r="A32" s="142">
        <v>29</v>
      </c>
      <c r="B32" s="16">
        <f t="shared" si="9"/>
        <v>29</v>
      </c>
      <c r="C32" s="12">
        <f t="shared" si="10"/>
        <v>2030</v>
      </c>
      <c r="D32" s="12">
        <f t="shared" si="0"/>
        <v>5220</v>
      </c>
      <c r="E32" s="12">
        <f t="shared" si="18"/>
        <v>870</v>
      </c>
      <c r="F32" s="12">
        <f t="shared" si="1"/>
        <v>1450</v>
      </c>
      <c r="G32" s="12">
        <f t="shared" si="11"/>
        <v>2421.7900000000009</v>
      </c>
      <c r="H32" s="13">
        <f t="shared" si="12"/>
        <v>2460.9399999999991</v>
      </c>
      <c r="I32" s="13">
        <f t="shared" si="13"/>
        <v>2294.75</v>
      </c>
      <c r="J32" s="13">
        <f t="shared" si="14"/>
        <v>2077.25</v>
      </c>
      <c r="K32" s="13">
        <f t="shared" si="15"/>
        <v>2223.5</v>
      </c>
      <c r="L32" s="13">
        <f t="shared" si="16"/>
        <v>2399.9199999999983</v>
      </c>
      <c r="M32" s="13">
        <f t="shared" si="17"/>
        <v>3323.5</v>
      </c>
      <c r="N32" s="12">
        <f t="shared" si="5"/>
        <v>2233</v>
      </c>
      <c r="O32" s="12">
        <f t="shared" si="2"/>
        <v>7047</v>
      </c>
      <c r="P32" s="12">
        <f t="shared" si="3"/>
        <v>957</v>
      </c>
      <c r="Q32" s="12">
        <f t="shared" si="4"/>
        <v>1595</v>
      </c>
      <c r="R32" s="13">
        <f t="shared" si="6"/>
        <v>7047</v>
      </c>
      <c r="S32" s="13">
        <f t="shared" si="7"/>
        <v>957</v>
      </c>
      <c r="T32" s="11">
        <f t="shared" si="8"/>
        <v>6090</v>
      </c>
      <c r="U32" s="2"/>
      <c r="V32" s="3"/>
    </row>
    <row r="33" spans="1:22" x14ac:dyDescent="0.3">
      <c r="A33" s="142">
        <v>30</v>
      </c>
      <c r="B33" s="16">
        <f t="shared" si="9"/>
        <v>30</v>
      </c>
      <c r="C33" s="12">
        <f t="shared" si="10"/>
        <v>2100</v>
      </c>
      <c r="D33" s="12">
        <f t="shared" si="0"/>
        <v>5400</v>
      </c>
      <c r="E33" s="12">
        <f t="shared" si="18"/>
        <v>900</v>
      </c>
      <c r="F33" s="12">
        <f t="shared" si="1"/>
        <v>1500</v>
      </c>
      <c r="G33" s="12">
        <f t="shared" si="11"/>
        <v>2505.0500000000011</v>
      </c>
      <c r="H33" s="13">
        <f t="shared" si="12"/>
        <v>2545.5199999999991</v>
      </c>
      <c r="I33" s="13">
        <f t="shared" si="13"/>
        <v>2373.75</v>
      </c>
      <c r="J33" s="13">
        <f t="shared" si="14"/>
        <v>2148.75</v>
      </c>
      <c r="K33" s="13">
        <f t="shared" si="15"/>
        <v>2300</v>
      </c>
      <c r="L33" s="13">
        <f t="shared" si="16"/>
        <v>2482.5399999999981</v>
      </c>
      <c r="M33" s="13">
        <f t="shared" si="17"/>
        <v>3438</v>
      </c>
      <c r="N33" s="12">
        <f t="shared" si="5"/>
        <v>2310</v>
      </c>
      <c r="O33" s="12">
        <f t="shared" si="2"/>
        <v>7290</v>
      </c>
      <c r="P33" s="12">
        <f t="shared" si="3"/>
        <v>990</v>
      </c>
      <c r="Q33" s="12">
        <f t="shared" si="4"/>
        <v>1650</v>
      </c>
      <c r="R33" s="13">
        <f t="shared" si="6"/>
        <v>7290</v>
      </c>
      <c r="S33" s="13">
        <f t="shared" si="7"/>
        <v>990</v>
      </c>
      <c r="T33" s="11">
        <f t="shared" si="8"/>
        <v>6300</v>
      </c>
      <c r="U33" s="2"/>
      <c r="V33" s="3"/>
    </row>
    <row r="34" spans="1:22" x14ac:dyDescent="0.3">
      <c r="A34" s="142">
        <v>31</v>
      </c>
      <c r="B34" s="16">
        <f t="shared" si="9"/>
        <v>31</v>
      </c>
      <c r="C34" s="12">
        <f t="shared" si="10"/>
        <v>2170</v>
      </c>
      <c r="D34" s="12">
        <f t="shared" si="0"/>
        <v>5580</v>
      </c>
      <c r="E34" s="12">
        <f t="shared" si="18"/>
        <v>930</v>
      </c>
      <c r="F34" s="12">
        <f t="shared" si="1"/>
        <v>1550</v>
      </c>
      <c r="G34" s="12">
        <f t="shared" si="11"/>
        <v>2588.3100000000013</v>
      </c>
      <c r="H34" s="13">
        <f t="shared" si="12"/>
        <v>2630.099999999999</v>
      </c>
      <c r="I34" s="13">
        <f t="shared" si="13"/>
        <v>2452.75</v>
      </c>
      <c r="J34" s="13">
        <f t="shared" si="14"/>
        <v>2220.25</v>
      </c>
      <c r="K34" s="13">
        <f t="shared" si="15"/>
        <v>2376.5</v>
      </c>
      <c r="L34" s="13">
        <f t="shared" si="16"/>
        <v>2565.159999999998</v>
      </c>
      <c r="M34" s="13">
        <f t="shared" si="17"/>
        <v>3552.5</v>
      </c>
      <c r="N34" s="12">
        <f t="shared" si="5"/>
        <v>2387</v>
      </c>
      <c r="O34" s="12">
        <f t="shared" si="2"/>
        <v>7533</v>
      </c>
      <c r="P34" s="12">
        <f t="shared" si="3"/>
        <v>1023</v>
      </c>
      <c r="Q34" s="12">
        <f t="shared" si="4"/>
        <v>1705</v>
      </c>
      <c r="R34" s="13">
        <f t="shared" si="6"/>
        <v>7533</v>
      </c>
      <c r="S34" s="13">
        <f t="shared" si="7"/>
        <v>1023</v>
      </c>
      <c r="T34" s="11">
        <f t="shared" si="8"/>
        <v>6510</v>
      </c>
      <c r="U34" s="2"/>
      <c r="V34" s="3"/>
    </row>
    <row r="35" spans="1:22" x14ac:dyDescent="0.3">
      <c r="A35" s="142">
        <v>32</v>
      </c>
      <c r="B35" s="16">
        <f t="shared" si="9"/>
        <v>32</v>
      </c>
      <c r="C35" s="12">
        <f t="shared" si="10"/>
        <v>2240</v>
      </c>
      <c r="D35" s="12">
        <f t="shared" si="0"/>
        <v>5760</v>
      </c>
      <c r="E35" s="12">
        <f t="shared" si="18"/>
        <v>960</v>
      </c>
      <c r="F35" s="12">
        <f t="shared" si="1"/>
        <v>1600</v>
      </c>
      <c r="G35" s="12">
        <f t="shared" si="11"/>
        <v>2671.5700000000015</v>
      </c>
      <c r="H35" s="13">
        <f t="shared" si="12"/>
        <v>2714.6799999999989</v>
      </c>
      <c r="I35" s="13">
        <f t="shared" si="13"/>
        <v>2531.75</v>
      </c>
      <c r="J35" s="13">
        <f t="shared" si="14"/>
        <v>2291.75</v>
      </c>
      <c r="K35" s="13">
        <f t="shared" si="15"/>
        <v>2453</v>
      </c>
      <c r="L35" s="13">
        <f t="shared" si="16"/>
        <v>2647.7799999999979</v>
      </c>
      <c r="M35" s="13">
        <f t="shared" si="17"/>
        <v>3667</v>
      </c>
      <c r="N35" s="12">
        <f t="shared" si="5"/>
        <v>2464</v>
      </c>
      <c r="O35" s="12">
        <f t="shared" si="2"/>
        <v>7776</v>
      </c>
      <c r="P35" s="12">
        <f t="shared" si="3"/>
        <v>1056</v>
      </c>
      <c r="Q35" s="12">
        <f t="shared" si="4"/>
        <v>1760</v>
      </c>
      <c r="R35" s="13">
        <f t="shared" si="6"/>
        <v>7776</v>
      </c>
      <c r="S35" s="13">
        <f t="shared" si="7"/>
        <v>1056</v>
      </c>
      <c r="T35" s="11">
        <f t="shared" si="8"/>
        <v>6720</v>
      </c>
      <c r="U35" s="2"/>
      <c r="V35" s="3"/>
    </row>
    <row r="36" spans="1:22" x14ac:dyDescent="0.3">
      <c r="A36" s="142">
        <v>33</v>
      </c>
      <c r="B36" s="16">
        <f t="shared" si="9"/>
        <v>33</v>
      </c>
      <c r="C36" s="12">
        <f t="shared" si="10"/>
        <v>2310</v>
      </c>
      <c r="D36" s="12">
        <f t="shared" ref="D36:D53" si="19">B36*$D$3</f>
        <v>5940</v>
      </c>
      <c r="E36" s="12">
        <f t="shared" si="18"/>
        <v>990</v>
      </c>
      <c r="F36" s="12">
        <f t="shared" ref="F36:F53" si="20">B36*$F$3</f>
        <v>1650</v>
      </c>
      <c r="G36" s="12">
        <f t="shared" si="11"/>
        <v>2754.8300000000017</v>
      </c>
      <c r="H36" s="13">
        <f t="shared" si="12"/>
        <v>2799.2599999999989</v>
      </c>
      <c r="I36" s="13">
        <f t="shared" si="13"/>
        <v>2610.75</v>
      </c>
      <c r="J36" s="13">
        <f t="shared" si="14"/>
        <v>2363.25</v>
      </c>
      <c r="K36" s="13">
        <f t="shared" si="15"/>
        <v>2529.5</v>
      </c>
      <c r="L36" s="13">
        <f t="shared" si="16"/>
        <v>2730.3999999999978</v>
      </c>
      <c r="M36" s="13">
        <f t="shared" si="17"/>
        <v>3781.5</v>
      </c>
      <c r="N36" s="12">
        <f t="shared" si="5"/>
        <v>2541</v>
      </c>
      <c r="O36" s="12">
        <f t="shared" ref="O36:O53" si="21">D36 + $O$3*D36</f>
        <v>8019</v>
      </c>
      <c r="P36" s="12">
        <f t="shared" ref="P36:P53" si="22">E36 + $P$3*E36</f>
        <v>1089</v>
      </c>
      <c r="Q36" s="12">
        <f t="shared" ref="Q36:Q53" si="23">F36 + $Q$3*F36</f>
        <v>1815</v>
      </c>
      <c r="R36" s="13">
        <f t="shared" si="6"/>
        <v>8019</v>
      </c>
      <c r="S36" s="13">
        <f t="shared" si="7"/>
        <v>1089</v>
      </c>
      <c r="T36" s="11">
        <f t="shared" si="8"/>
        <v>6930</v>
      </c>
      <c r="U36" s="2"/>
      <c r="V36" s="3"/>
    </row>
    <row r="37" spans="1:22" x14ac:dyDescent="0.3">
      <c r="A37" s="142">
        <v>34</v>
      </c>
      <c r="B37" s="16">
        <f t="shared" si="9"/>
        <v>34</v>
      </c>
      <c r="C37" s="12">
        <f t="shared" si="10"/>
        <v>2380</v>
      </c>
      <c r="D37" s="12">
        <f t="shared" si="19"/>
        <v>6120</v>
      </c>
      <c r="E37" s="12">
        <f t="shared" si="18"/>
        <v>1020</v>
      </c>
      <c r="F37" s="12">
        <f t="shared" si="20"/>
        <v>1700</v>
      </c>
      <c r="G37" s="12">
        <f t="shared" si="11"/>
        <v>2838.090000000002</v>
      </c>
      <c r="H37" s="13">
        <f t="shared" si="12"/>
        <v>2883.8399999999988</v>
      </c>
      <c r="I37" s="13">
        <f t="shared" si="13"/>
        <v>2689.75</v>
      </c>
      <c r="J37" s="13">
        <f t="shared" si="14"/>
        <v>2434.75</v>
      </c>
      <c r="K37" s="13">
        <f t="shared" si="15"/>
        <v>2606</v>
      </c>
      <c r="L37" s="13">
        <f t="shared" si="16"/>
        <v>2813.0199999999977</v>
      </c>
      <c r="M37" s="13">
        <f t="shared" si="17"/>
        <v>3896</v>
      </c>
      <c r="N37" s="12">
        <f t="shared" si="5"/>
        <v>2618</v>
      </c>
      <c r="O37" s="12">
        <f t="shared" si="21"/>
        <v>8262</v>
      </c>
      <c r="P37" s="12">
        <f t="shared" si="22"/>
        <v>1122</v>
      </c>
      <c r="Q37" s="12">
        <f t="shared" si="23"/>
        <v>1870</v>
      </c>
      <c r="R37" s="13">
        <f t="shared" ref="R37:R53" si="24">MAX(N37, O37, G37:Q37)</f>
        <v>8262</v>
      </c>
      <c r="S37" s="13">
        <f t="shared" ref="S37:S53" si="25">MIN(N37, O37, G37:Q37)</f>
        <v>1122</v>
      </c>
      <c r="T37" s="11">
        <f t="shared" si="8"/>
        <v>7140</v>
      </c>
      <c r="U37" s="2"/>
      <c r="V37" s="3"/>
    </row>
    <row r="38" spans="1:22" x14ac:dyDescent="0.3">
      <c r="A38" s="142">
        <v>35</v>
      </c>
      <c r="B38" s="16">
        <f t="shared" si="9"/>
        <v>35</v>
      </c>
      <c r="C38" s="12">
        <f t="shared" si="10"/>
        <v>2450</v>
      </c>
      <c r="D38" s="12">
        <f t="shared" si="19"/>
        <v>6300</v>
      </c>
      <c r="E38" s="12">
        <f t="shared" si="18"/>
        <v>1050</v>
      </c>
      <c r="F38" s="12">
        <f t="shared" si="20"/>
        <v>1750</v>
      </c>
      <c r="G38" s="12">
        <f t="shared" si="11"/>
        <v>2921.3500000000022</v>
      </c>
      <c r="H38" s="13">
        <f t="shared" si="12"/>
        <v>2968.4199999999987</v>
      </c>
      <c r="I38" s="13">
        <f t="shared" si="13"/>
        <v>2768.75</v>
      </c>
      <c r="J38" s="13">
        <f t="shared" si="14"/>
        <v>2506.25</v>
      </c>
      <c r="K38" s="13">
        <f t="shared" si="15"/>
        <v>2682.5</v>
      </c>
      <c r="L38" s="13">
        <f t="shared" si="16"/>
        <v>2895.6399999999976</v>
      </c>
      <c r="M38" s="13">
        <f t="shared" si="17"/>
        <v>4010.5</v>
      </c>
      <c r="N38" s="12">
        <f t="shared" si="5"/>
        <v>2695</v>
      </c>
      <c r="O38" s="12">
        <f t="shared" si="21"/>
        <v>8505</v>
      </c>
      <c r="P38" s="12">
        <f t="shared" si="22"/>
        <v>1155</v>
      </c>
      <c r="Q38" s="12">
        <f t="shared" si="23"/>
        <v>1925</v>
      </c>
      <c r="R38" s="13">
        <f t="shared" si="24"/>
        <v>8505</v>
      </c>
      <c r="S38" s="13">
        <f t="shared" si="25"/>
        <v>1155</v>
      </c>
      <c r="T38" s="11">
        <f t="shared" si="8"/>
        <v>7350</v>
      </c>
      <c r="U38" s="2"/>
      <c r="V38" s="3"/>
    </row>
    <row r="39" spans="1:22" x14ac:dyDescent="0.3">
      <c r="A39" s="142">
        <v>36</v>
      </c>
      <c r="B39" s="16">
        <f t="shared" si="9"/>
        <v>36</v>
      </c>
      <c r="C39" s="12">
        <f t="shared" si="10"/>
        <v>2520</v>
      </c>
      <c r="D39" s="12">
        <f t="shared" si="19"/>
        <v>6480</v>
      </c>
      <c r="E39" s="12">
        <f t="shared" si="18"/>
        <v>1080</v>
      </c>
      <c r="F39" s="12">
        <f t="shared" si="20"/>
        <v>1800</v>
      </c>
      <c r="G39" s="12">
        <f t="shared" si="11"/>
        <v>3004.6100000000024</v>
      </c>
      <c r="H39" s="13">
        <f t="shared" si="12"/>
        <v>3052.9999999999986</v>
      </c>
      <c r="I39" s="13">
        <f t="shared" si="13"/>
        <v>2847.75</v>
      </c>
      <c r="J39" s="13">
        <f t="shared" si="14"/>
        <v>2577.75</v>
      </c>
      <c r="K39" s="13">
        <f t="shared" si="15"/>
        <v>2759</v>
      </c>
      <c r="L39" s="13">
        <f t="shared" si="16"/>
        <v>2978.2599999999975</v>
      </c>
      <c r="M39" s="13">
        <f t="shared" si="17"/>
        <v>4125</v>
      </c>
      <c r="N39" s="12">
        <f t="shared" si="5"/>
        <v>2772</v>
      </c>
      <c r="O39" s="12">
        <f t="shared" si="21"/>
        <v>8748</v>
      </c>
      <c r="P39" s="12">
        <f t="shared" si="22"/>
        <v>1188</v>
      </c>
      <c r="Q39" s="12">
        <f t="shared" si="23"/>
        <v>1980</v>
      </c>
      <c r="R39" s="13">
        <f t="shared" si="24"/>
        <v>8748</v>
      </c>
      <c r="S39" s="13">
        <f t="shared" si="25"/>
        <v>1188</v>
      </c>
      <c r="T39" s="11">
        <f t="shared" si="8"/>
        <v>7560</v>
      </c>
      <c r="U39" s="2"/>
      <c r="V39" s="3"/>
    </row>
    <row r="40" spans="1:22" x14ac:dyDescent="0.3">
      <c r="A40" s="142">
        <v>37</v>
      </c>
      <c r="B40" s="16">
        <f t="shared" si="9"/>
        <v>37</v>
      </c>
      <c r="C40" s="12">
        <f t="shared" si="10"/>
        <v>2590</v>
      </c>
      <c r="D40" s="12">
        <f t="shared" si="19"/>
        <v>6660</v>
      </c>
      <c r="E40" s="12">
        <f t="shared" si="18"/>
        <v>1110</v>
      </c>
      <c r="F40" s="12">
        <f t="shared" si="20"/>
        <v>1850</v>
      </c>
      <c r="G40" s="12">
        <f t="shared" si="11"/>
        <v>3087.8700000000026</v>
      </c>
      <c r="H40" s="13">
        <f t="shared" si="12"/>
        <v>3137.5799999999986</v>
      </c>
      <c r="I40" s="13">
        <f t="shared" si="13"/>
        <v>2926.75</v>
      </c>
      <c r="J40" s="13">
        <f t="shared" si="14"/>
        <v>2649.25</v>
      </c>
      <c r="K40" s="13">
        <f t="shared" si="15"/>
        <v>2835.5</v>
      </c>
      <c r="L40" s="13">
        <f t="shared" si="16"/>
        <v>3060.8799999999974</v>
      </c>
      <c r="M40" s="13">
        <f t="shared" si="17"/>
        <v>4239.5</v>
      </c>
      <c r="N40" s="12">
        <f t="shared" si="5"/>
        <v>2849</v>
      </c>
      <c r="O40" s="12">
        <f t="shared" si="21"/>
        <v>8991</v>
      </c>
      <c r="P40" s="12">
        <f t="shared" si="22"/>
        <v>1221</v>
      </c>
      <c r="Q40" s="12">
        <f t="shared" si="23"/>
        <v>2035</v>
      </c>
      <c r="R40" s="13">
        <f t="shared" si="24"/>
        <v>8991</v>
      </c>
      <c r="S40" s="13">
        <f t="shared" si="25"/>
        <v>1221</v>
      </c>
      <c r="T40" s="11">
        <f t="shared" si="8"/>
        <v>7770</v>
      </c>
      <c r="U40" s="2"/>
      <c r="V40" s="3"/>
    </row>
    <row r="41" spans="1:22" x14ac:dyDescent="0.3">
      <c r="A41" s="142">
        <v>38</v>
      </c>
      <c r="B41" s="16">
        <f t="shared" si="9"/>
        <v>38</v>
      </c>
      <c r="C41" s="12">
        <f t="shared" si="10"/>
        <v>2660</v>
      </c>
      <c r="D41" s="12">
        <f t="shared" si="19"/>
        <v>6840</v>
      </c>
      <c r="E41" s="12">
        <f t="shared" si="18"/>
        <v>1140</v>
      </c>
      <c r="F41" s="12">
        <f t="shared" si="20"/>
        <v>1900</v>
      </c>
      <c r="G41" s="12">
        <f t="shared" si="11"/>
        <v>3171.1300000000028</v>
      </c>
      <c r="H41" s="13">
        <f t="shared" si="12"/>
        <v>3222.1599999999985</v>
      </c>
      <c r="I41" s="13">
        <f t="shared" si="13"/>
        <v>3005.75</v>
      </c>
      <c r="J41" s="13">
        <f t="shared" si="14"/>
        <v>2720.75</v>
      </c>
      <c r="K41" s="13">
        <f t="shared" si="15"/>
        <v>2912</v>
      </c>
      <c r="L41" s="13">
        <f t="shared" si="16"/>
        <v>3143.4999999999973</v>
      </c>
      <c r="M41" s="13">
        <f t="shared" si="17"/>
        <v>4354</v>
      </c>
      <c r="N41" s="12">
        <f t="shared" si="5"/>
        <v>2926</v>
      </c>
      <c r="O41" s="12">
        <f t="shared" si="21"/>
        <v>9234</v>
      </c>
      <c r="P41" s="12">
        <f t="shared" si="22"/>
        <v>1254</v>
      </c>
      <c r="Q41" s="12">
        <f t="shared" si="23"/>
        <v>2090</v>
      </c>
      <c r="R41" s="13">
        <f t="shared" si="24"/>
        <v>9234</v>
      </c>
      <c r="S41" s="13">
        <f t="shared" si="25"/>
        <v>1254</v>
      </c>
      <c r="T41" s="11">
        <f t="shared" si="8"/>
        <v>7980</v>
      </c>
      <c r="U41" s="2"/>
      <c r="V41" s="3"/>
    </row>
    <row r="42" spans="1:22" x14ac:dyDescent="0.3">
      <c r="A42" s="142">
        <v>39</v>
      </c>
      <c r="B42" s="16">
        <f t="shared" si="9"/>
        <v>39</v>
      </c>
      <c r="C42" s="12">
        <f t="shared" si="10"/>
        <v>2730</v>
      </c>
      <c r="D42" s="12">
        <f t="shared" si="19"/>
        <v>7020</v>
      </c>
      <c r="E42" s="12">
        <f t="shared" si="18"/>
        <v>1170</v>
      </c>
      <c r="F42" s="12">
        <f t="shared" si="20"/>
        <v>1950</v>
      </c>
      <c r="G42" s="12">
        <f t="shared" si="11"/>
        <v>3254.3900000000031</v>
      </c>
      <c r="H42" s="13">
        <f t="shared" si="12"/>
        <v>3306.7399999999984</v>
      </c>
      <c r="I42" s="13">
        <f t="shared" si="13"/>
        <v>3084.75</v>
      </c>
      <c r="J42" s="13">
        <f t="shared" si="14"/>
        <v>2792.25</v>
      </c>
      <c r="K42" s="13">
        <f t="shared" si="15"/>
        <v>2988.5</v>
      </c>
      <c r="L42" s="13">
        <f t="shared" si="16"/>
        <v>3226.1199999999972</v>
      </c>
      <c r="M42" s="13">
        <f t="shared" si="17"/>
        <v>4468.5</v>
      </c>
      <c r="N42" s="12">
        <f t="shared" si="5"/>
        <v>3003</v>
      </c>
      <c r="O42" s="12">
        <f t="shared" si="21"/>
        <v>9477</v>
      </c>
      <c r="P42" s="12">
        <f t="shared" si="22"/>
        <v>1287</v>
      </c>
      <c r="Q42" s="12">
        <f t="shared" si="23"/>
        <v>2145</v>
      </c>
      <c r="R42" s="13">
        <f t="shared" si="24"/>
        <v>9477</v>
      </c>
      <c r="S42" s="13">
        <f t="shared" si="25"/>
        <v>1287</v>
      </c>
      <c r="T42" s="11">
        <f t="shared" si="8"/>
        <v>8190</v>
      </c>
      <c r="U42" s="2"/>
      <c r="V42" s="3"/>
    </row>
    <row r="43" spans="1:22" x14ac:dyDescent="0.3">
      <c r="A43" s="142">
        <v>40</v>
      </c>
      <c r="B43" s="16">
        <f t="shared" si="9"/>
        <v>40</v>
      </c>
      <c r="C43" s="12">
        <f t="shared" si="10"/>
        <v>2800</v>
      </c>
      <c r="D43" s="12">
        <f t="shared" si="19"/>
        <v>7200</v>
      </c>
      <c r="E43" s="12">
        <f t="shared" si="18"/>
        <v>1200</v>
      </c>
      <c r="F43" s="12">
        <f t="shared" si="20"/>
        <v>2000</v>
      </c>
      <c r="G43" s="12">
        <f t="shared" si="11"/>
        <v>3337.6500000000033</v>
      </c>
      <c r="H43" s="13">
        <f t="shared" si="12"/>
        <v>3391.3199999999983</v>
      </c>
      <c r="I43" s="13">
        <f t="shared" si="13"/>
        <v>3163.75</v>
      </c>
      <c r="J43" s="13">
        <f t="shared" si="14"/>
        <v>2863.75</v>
      </c>
      <c r="K43" s="13">
        <f t="shared" si="15"/>
        <v>3065</v>
      </c>
      <c r="L43" s="13">
        <f t="shared" si="16"/>
        <v>3308.7399999999971</v>
      </c>
      <c r="M43" s="13">
        <f t="shared" si="17"/>
        <v>4583</v>
      </c>
      <c r="N43" s="12">
        <f t="shared" si="5"/>
        <v>3080</v>
      </c>
      <c r="O43" s="12">
        <f t="shared" si="21"/>
        <v>9720</v>
      </c>
      <c r="P43" s="12">
        <f t="shared" si="22"/>
        <v>1320</v>
      </c>
      <c r="Q43" s="12">
        <f t="shared" si="23"/>
        <v>2200</v>
      </c>
      <c r="R43" s="13">
        <f t="shared" si="24"/>
        <v>9720</v>
      </c>
      <c r="S43" s="13">
        <f t="shared" si="25"/>
        <v>1320</v>
      </c>
      <c r="T43" s="11">
        <f t="shared" si="8"/>
        <v>8400</v>
      </c>
      <c r="U43" s="2"/>
      <c r="V43" s="3"/>
    </row>
    <row r="44" spans="1:22" x14ac:dyDescent="0.3">
      <c r="A44" s="142">
        <v>41</v>
      </c>
      <c r="B44" s="16">
        <f t="shared" si="9"/>
        <v>41</v>
      </c>
      <c r="C44" s="12">
        <f t="shared" si="10"/>
        <v>2870</v>
      </c>
      <c r="D44" s="12">
        <f t="shared" si="19"/>
        <v>7380</v>
      </c>
      <c r="E44" s="12">
        <f t="shared" si="18"/>
        <v>1230</v>
      </c>
      <c r="F44" s="12">
        <f t="shared" si="20"/>
        <v>2050</v>
      </c>
      <c r="G44" s="12">
        <f t="shared" si="11"/>
        <v>3420.9100000000035</v>
      </c>
      <c r="H44" s="13">
        <f t="shared" si="12"/>
        <v>3475.8999999999983</v>
      </c>
      <c r="I44" s="13">
        <f t="shared" si="13"/>
        <v>3242.75</v>
      </c>
      <c r="J44" s="13">
        <f t="shared" si="14"/>
        <v>2935.25</v>
      </c>
      <c r="K44" s="13">
        <f t="shared" si="15"/>
        <v>3141.5</v>
      </c>
      <c r="L44" s="13">
        <f t="shared" si="16"/>
        <v>3391.3599999999969</v>
      </c>
      <c r="M44" s="13">
        <f t="shared" si="17"/>
        <v>4697.5</v>
      </c>
      <c r="N44" s="12">
        <f t="shared" si="5"/>
        <v>3157</v>
      </c>
      <c r="O44" s="12">
        <f t="shared" si="21"/>
        <v>9963</v>
      </c>
      <c r="P44" s="12">
        <f t="shared" si="22"/>
        <v>1353</v>
      </c>
      <c r="Q44" s="12">
        <f t="shared" si="23"/>
        <v>2255</v>
      </c>
      <c r="R44" s="13">
        <f t="shared" si="24"/>
        <v>9963</v>
      </c>
      <c r="S44" s="13">
        <f t="shared" si="25"/>
        <v>1353</v>
      </c>
      <c r="T44" s="11">
        <f t="shared" si="8"/>
        <v>8610</v>
      </c>
      <c r="U44" s="2"/>
      <c r="V44" s="3"/>
    </row>
    <row r="45" spans="1:22" x14ac:dyDescent="0.3">
      <c r="A45" s="142">
        <v>42</v>
      </c>
      <c r="B45" s="16">
        <f t="shared" si="9"/>
        <v>42</v>
      </c>
      <c r="C45" s="12">
        <f t="shared" si="10"/>
        <v>2940</v>
      </c>
      <c r="D45" s="12">
        <f t="shared" si="19"/>
        <v>7560</v>
      </c>
      <c r="E45" s="12">
        <f t="shared" si="18"/>
        <v>1260</v>
      </c>
      <c r="F45" s="12">
        <f t="shared" si="20"/>
        <v>2100</v>
      </c>
      <c r="G45" s="12">
        <f t="shared" si="11"/>
        <v>3504.1700000000037</v>
      </c>
      <c r="H45" s="13">
        <f t="shared" si="12"/>
        <v>3560.4799999999982</v>
      </c>
      <c r="I45" s="13">
        <f t="shared" si="13"/>
        <v>3321.75</v>
      </c>
      <c r="J45" s="13">
        <f t="shared" si="14"/>
        <v>3006.75</v>
      </c>
      <c r="K45" s="13">
        <f t="shared" si="15"/>
        <v>3218</v>
      </c>
      <c r="L45" s="13">
        <f t="shared" si="16"/>
        <v>3473.9799999999968</v>
      </c>
      <c r="M45" s="13">
        <f t="shared" si="17"/>
        <v>4812</v>
      </c>
      <c r="N45" s="12">
        <f t="shared" si="5"/>
        <v>3234</v>
      </c>
      <c r="O45" s="12">
        <f t="shared" si="21"/>
        <v>10206</v>
      </c>
      <c r="P45" s="12">
        <f t="shared" si="22"/>
        <v>1386</v>
      </c>
      <c r="Q45" s="12">
        <f t="shared" si="23"/>
        <v>2310</v>
      </c>
      <c r="R45" s="13">
        <f t="shared" si="24"/>
        <v>10206</v>
      </c>
      <c r="S45" s="13">
        <f t="shared" si="25"/>
        <v>1386</v>
      </c>
      <c r="T45" s="11">
        <f t="shared" si="8"/>
        <v>8820</v>
      </c>
      <c r="U45" s="2"/>
      <c r="V45" s="3"/>
    </row>
    <row r="46" spans="1:22" x14ac:dyDescent="0.3">
      <c r="A46" s="142">
        <v>43</v>
      </c>
      <c r="B46" s="16">
        <f t="shared" si="9"/>
        <v>43</v>
      </c>
      <c r="C46" s="12">
        <f t="shared" si="10"/>
        <v>3010</v>
      </c>
      <c r="D46" s="12">
        <f t="shared" si="19"/>
        <v>7740</v>
      </c>
      <c r="E46" s="12">
        <f t="shared" si="18"/>
        <v>1290</v>
      </c>
      <c r="F46" s="12">
        <f t="shared" si="20"/>
        <v>2150</v>
      </c>
      <c r="G46" s="12">
        <f t="shared" si="11"/>
        <v>3587.4300000000039</v>
      </c>
      <c r="H46" s="13">
        <f t="shared" si="12"/>
        <v>3645.0599999999981</v>
      </c>
      <c r="I46" s="13">
        <f t="shared" si="13"/>
        <v>3400.75</v>
      </c>
      <c r="J46" s="13">
        <f t="shared" si="14"/>
        <v>3078.25</v>
      </c>
      <c r="K46" s="13">
        <f t="shared" si="15"/>
        <v>3294.5</v>
      </c>
      <c r="L46" s="13">
        <f t="shared" si="16"/>
        <v>3556.5999999999967</v>
      </c>
      <c r="M46" s="13">
        <f t="shared" si="17"/>
        <v>4926.5</v>
      </c>
      <c r="N46" s="12">
        <f t="shared" si="5"/>
        <v>3311</v>
      </c>
      <c r="O46" s="12">
        <f t="shared" si="21"/>
        <v>10449</v>
      </c>
      <c r="P46" s="12">
        <f t="shared" si="22"/>
        <v>1419</v>
      </c>
      <c r="Q46" s="12">
        <f t="shared" si="23"/>
        <v>2365</v>
      </c>
      <c r="R46" s="13">
        <f t="shared" si="24"/>
        <v>10449</v>
      </c>
      <c r="S46" s="13">
        <f t="shared" si="25"/>
        <v>1419</v>
      </c>
      <c r="T46" s="11">
        <f t="shared" si="8"/>
        <v>9030</v>
      </c>
      <c r="U46" s="2"/>
      <c r="V46" s="3"/>
    </row>
    <row r="47" spans="1:22" x14ac:dyDescent="0.3">
      <c r="A47" s="142">
        <v>44</v>
      </c>
      <c r="B47" s="16">
        <f t="shared" si="9"/>
        <v>44</v>
      </c>
      <c r="C47" s="12">
        <f t="shared" si="10"/>
        <v>3080</v>
      </c>
      <c r="D47" s="12">
        <f t="shared" si="19"/>
        <v>7920</v>
      </c>
      <c r="E47" s="12">
        <f t="shared" si="18"/>
        <v>1320</v>
      </c>
      <c r="F47" s="12">
        <f t="shared" si="20"/>
        <v>2200</v>
      </c>
      <c r="G47" s="12">
        <f t="shared" si="11"/>
        <v>3670.6900000000041</v>
      </c>
      <c r="H47" s="13">
        <f t="shared" si="12"/>
        <v>3729.6399999999981</v>
      </c>
      <c r="I47" s="13">
        <f t="shared" si="13"/>
        <v>3479.75</v>
      </c>
      <c r="J47" s="13">
        <f t="shared" si="14"/>
        <v>3149.75</v>
      </c>
      <c r="K47" s="13">
        <f t="shared" si="15"/>
        <v>3371</v>
      </c>
      <c r="L47" s="13">
        <f t="shared" si="16"/>
        <v>3639.2199999999966</v>
      </c>
      <c r="M47" s="13">
        <f t="shared" si="17"/>
        <v>5041</v>
      </c>
      <c r="N47" s="12">
        <f t="shared" si="5"/>
        <v>3388</v>
      </c>
      <c r="O47" s="12">
        <f t="shared" si="21"/>
        <v>10692</v>
      </c>
      <c r="P47" s="12">
        <f t="shared" si="22"/>
        <v>1452</v>
      </c>
      <c r="Q47" s="12">
        <f t="shared" si="23"/>
        <v>2420</v>
      </c>
      <c r="R47" s="13">
        <f t="shared" si="24"/>
        <v>10692</v>
      </c>
      <c r="S47" s="13">
        <f t="shared" si="25"/>
        <v>1452</v>
      </c>
      <c r="T47" s="11">
        <f t="shared" si="8"/>
        <v>9240</v>
      </c>
      <c r="U47" s="2"/>
      <c r="V47" s="3"/>
    </row>
    <row r="48" spans="1:22" x14ac:dyDescent="0.3">
      <c r="A48" s="142">
        <v>45</v>
      </c>
      <c r="B48" s="16">
        <f t="shared" si="9"/>
        <v>45</v>
      </c>
      <c r="C48" s="12">
        <f t="shared" si="10"/>
        <v>3150</v>
      </c>
      <c r="D48" s="12">
        <f t="shared" si="19"/>
        <v>8100</v>
      </c>
      <c r="E48" s="12">
        <f t="shared" si="18"/>
        <v>1350</v>
      </c>
      <c r="F48" s="12">
        <f t="shared" si="20"/>
        <v>2250</v>
      </c>
      <c r="G48" s="12">
        <f t="shared" si="11"/>
        <v>3753.9500000000044</v>
      </c>
      <c r="H48" s="13">
        <f t="shared" si="12"/>
        <v>3814.219999999998</v>
      </c>
      <c r="I48" s="13">
        <f t="shared" si="13"/>
        <v>3558.75</v>
      </c>
      <c r="J48" s="13">
        <f t="shared" si="14"/>
        <v>3221.25</v>
      </c>
      <c r="K48" s="13">
        <f t="shared" si="15"/>
        <v>3447.5</v>
      </c>
      <c r="L48" s="13">
        <f t="shared" si="16"/>
        <v>3721.8399999999965</v>
      </c>
      <c r="M48" s="13">
        <f t="shared" si="17"/>
        <v>5155.5</v>
      </c>
      <c r="N48" s="12">
        <f t="shared" si="5"/>
        <v>3465</v>
      </c>
      <c r="O48" s="12">
        <f t="shared" si="21"/>
        <v>10935</v>
      </c>
      <c r="P48" s="12">
        <f t="shared" si="22"/>
        <v>1485</v>
      </c>
      <c r="Q48" s="12">
        <f t="shared" si="23"/>
        <v>2475</v>
      </c>
      <c r="R48" s="13">
        <f t="shared" si="24"/>
        <v>10935</v>
      </c>
      <c r="S48" s="13">
        <f t="shared" si="25"/>
        <v>1485</v>
      </c>
      <c r="T48" s="11">
        <f t="shared" si="8"/>
        <v>9450</v>
      </c>
      <c r="U48" s="2"/>
      <c r="V48" s="3"/>
    </row>
    <row r="49" spans="1:22" x14ac:dyDescent="0.3">
      <c r="A49" s="142">
        <v>46</v>
      </c>
      <c r="B49" s="16">
        <f t="shared" si="9"/>
        <v>46</v>
      </c>
      <c r="C49" s="12">
        <f t="shared" si="10"/>
        <v>3220</v>
      </c>
      <c r="D49" s="12">
        <f t="shared" si="19"/>
        <v>8280</v>
      </c>
      <c r="E49" s="12">
        <f t="shared" si="18"/>
        <v>1380</v>
      </c>
      <c r="F49" s="12">
        <f t="shared" si="20"/>
        <v>2300</v>
      </c>
      <c r="G49" s="12">
        <f t="shared" si="11"/>
        <v>3837.2100000000046</v>
      </c>
      <c r="H49" s="13">
        <f t="shared" si="12"/>
        <v>3898.7999999999979</v>
      </c>
      <c r="I49" s="13">
        <f t="shared" si="13"/>
        <v>3637.75</v>
      </c>
      <c r="J49" s="13">
        <f t="shared" si="14"/>
        <v>3292.75</v>
      </c>
      <c r="K49" s="13">
        <f t="shared" si="15"/>
        <v>3524</v>
      </c>
      <c r="L49" s="13">
        <f t="shared" si="16"/>
        <v>3804.4599999999964</v>
      </c>
      <c r="M49" s="13">
        <f t="shared" si="17"/>
        <v>5270</v>
      </c>
      <c r="N49" s="12">
        <f t="shared" si="5"/>
        <v>3542</v>
      </c>
      <c r="O49" s="12">
        <f t="shared" si="21"/>
        <v>11178</v>
      </c>
      <c r="P49" s="12">
        <f t="shared" si="22"/>
        <v>1518</v>
      </c>
      <c r="Q49" s="12">
        <f t="shared" si="23"/>
        <v>2530</v>
      </c>
      <c r="R49" s="13">
        <f t="shared" si="24"/>
        <v>11178</v>
      </c>
      <c r="S49" s="13">
        <f t="shared" si="25"/>
        <v>1518</v>
      </c>
      <c r="T49" s="11">
        <f t="shared" si="8"/>
        <v>9660</v>
      </c>
      <c r="U49" s="2"/>
      <c r="V49" s="3"/>
    </row>
    <row r="50" spans="1:22" x14ac:dyDescent="0.3">
      <c r="A50" s="142">
        <v>47</v>
      </c>
      <c r="B50" s="16">
        <f t="shared" si="9"/>
        <v>47</v>
      </c>
      <c r="C50" s="12">
        <f t="shared" si="10"/>
        <v>3290</v>
      </c>
      <c r="D50" s="12">
        <f t="shared" si="19"/>
        <v>8460</v>
      </c>
      <c r="E50" s="12">
        <f t="shared" si="18"/>
        <v>1410</v>
      </c>
      <c r="F50" s="12">
        <f t="shared" si="20"/>
        <v>2350</v>
      </c>
      <c r="G50" s="12">
        <f t="shared" si="11"/>
        <v>3920.4700000000048</v>
      </c>
      <c r="H50" s="13">
        <f t="shared" si="12"/>
        <v>3983.3799999999978</v>
      </c>
      <c r="I50" s="13">
        <f t="shared" si="13"/>
        <v>3716.75</v>
      </c>
      <c r="J50" s="13">
        <f t="shared" si="14"/>
        <v>3364.25</v>
      </c>
      <c r="K50" s="13">
        <f t="shared" si="15"/>
        <v>3600.5</v>
      </c>
      <c r="L50" s="13">
        <f t="shared" si="16"/>
        <v>3887.0799999999963</v>
      </c>
      <c r="M50" s="13">
        <f t="shared" si="17"/>
        <v>5384.5</v>
      </c>
      <c r="N50" s="12">
        <f t="shared" si="5"/>
        <v>3619</v>
      </c>
      <c r="O50" s="12">
        <f t="shared" si="21"/>
        <v>11421</v>
      </c>
      <c r="P50" s="12">
        <f t="shared" si="22"/>
        <v>1551</v>
      </c>
      <c r="Q50" s="12">
        <f t="shared" si="23"/>
        <v>2585</v>
      </c>
      <c r="R50" s="13">
        <f t="shared" si="24"/>
        <v>11421</v>
      </c>
      <c r="S50" s="13">
        <f t="shared" si="25"/>
        <v>1551</v>
      </c>
      <c r="T50" s="11">
        <f t="shared" si="8"/>
        <v>9870</v>
      </c>
      <c r="U50" s="2"/>
      <c r="V50" s="3"/>
    </row>
    <row r="51" spans="1:22" x14ac:dyDescent="0.3">
      <c r="A51" s="142">
        <v>48</v>
      </c>
      <c r="B51" s="16">
        <f t="shared" si="9"/>
        <v>48</v>
      </c>
      <c r="C51" s="12">
        <f t="shared" si="10"/>
        <v>3360</v>
      </c>
      <c r="D51" s="12">
        <f t="shared" si="19"/>
        <v>8640</v>
      </c>
      <c r="E51" s="12">
        <f t="shared" si="18"/>
        <v>1440</v>
      </c>
      <c r="F51" s="12">
        <f t="shared" si="20"/>
        <v>2400</v>
      </c>
      <c r="G51" s="12">
        <f t="shared" si="11"/>
        <v>4003.730000000005</v>
      </c>
      <c r="H51" s="13">
        <f t="shared" si="12"/>
        <v>4067.9599999999978</v>
      </c>
      <c r="I51" s="13">
        <f t="shared" si="13"/>
        <v>3795.75</v>
      </c>
      <c r="J51" s="13">
        <f t="shared" si="14"/>
        <v>3435.75</v>
      </c>
      <c r="K51" s="13">
        <f t="shared" si="15"/>
        <v>3677</v>
      </c>
      <c r="L51" s="13">
        <f t="shared" si="16"/>
        <v>3969.6999999999962</v>
      </c>
      <c r="M51" s="13">
        <f t="shared" si="17"/>
        <v>5499</v>
      </c>
      <c r="N51" s="12">
        <f t="shared" si="5"/>
        <v>3696</v>
      </c>
      <c r="O51" s="12">
        <f t="shared" si="21"/>
        <v>11664</v>
      </c>
      <c r="P51" s="12">
        <f t="shared" si="22"/>
        <v>1584</v>
      </c>
      <c r="Q51" s="12">
        <f t="shared" si="23"/>
        <v>2640</v>
      </c>
      <c r="R51" s="13">
        <f t="shared" si="24"/>
        <v>11664</v>
      </c>
      <c r="S51" s="13">
        <f t="shared" si="25"/>
        <v>1584</v>
      </c>
      <c r="T51" s="11">
        <f t="shared" si="8"/>
        <v>10080</v>
      </c>
      <c r="U51" s="2"/>
      <c r="V51" s="3"/>
    </row>
    <row r="52" spans="1:22" x14ac:dyDescent="0.3">
      <c r="A52" s="142">
        <v>49</v>
      </c>
      <c r="B52" s="16">
        <f t="shared" si="9"/>
        <v>49</v>
      </c>
      <c r="C52" s="12">
        <f t="shared" si="10"/>
        <v>3430</v>
      </c>
      <c r="D52" s="12">
        <f t="shared" si="19"/>
        <v>8820</v>
      </c>
      <c r="E52" s="12">
        <f t="shared" si="18"/>
        <v>1470</v>
      </c>
      <c r="F52" s="12">
        <f t="shared" si="20"/>
        <v>2450</v>
      </c>
      <c r="G52" s="12">
        <f t="shared" si="11"/>
        <v>4086.9900000000052</v>
      </c>
      <c r="H52" s="13">
        <f t="shared" si="12"/>
        <v>4152.5399999999981</v>
      </c>
      <c r="I52" s="13">
        <f t="shared" si="13"/>
        <v>3874.75</v>
      </c>
      <c r="J52" s="13">
        <f t="shared" si="14"/>
        <v>3507.25</v>
      </c>
      <c r="K52" s="13">
        <f t="shared" si="15"/>
        <v>3753.5</v>
      </c>
      <c r="L52" s="13">
        <f t="shared" si="16"/>
        <v>4052.3199999999961</v>
      </c>
      <c r="M52" s="13">
        <f t="shared" si="17"/>
        <v>5613.5</v>
      </c>
      <c r="N52" s="12">
        <f t="shared" si="5"/>
        <v>3773</v>
      </c>
      <c r="O52" s="12">
        <f t="shared" si="21"/>
        <v>11907</v>
      </c>
      <c r="P52" s="12">
        <f t="shared" si="22"/>
        <v>1617</v>
      </c>
      <c r="Q52" s="12">
        <f t="shared" si="23"/>
        <v>2695</v>
      </c>
      <c r="R52" s="13">
        <f t="shared" si="24"/>
        <v>11907</v>
      </c>
      <c r="S52" s="13">
        <f t="shared" si="25"/>
        <v>1617</v>
      </c>
      <c r="T52" s="11">
        <f t="shared" si="8"/>
        <v>10290</v>
      </c>
      <c r="U52" s="2"/>
      <c r="V52" s="3"/>
    </row>
    <row r="53" spans="1:22" ht="15" thickBot="1" x14ac:dyDescent="0.35">
      <c r="A53" s="143">
        <v>50</v>
      </c>
      <c r="B53" s="144">
        <f t="shared" si="9"/>
        <v>50</v>
      </c>
      <c r="C53" s="145">
        <f t="shared" si="10"/>
        <v>3500</v>
      </c>
      <c r="D53" s="145">
        <f t="shared" si="19"/>
        <v>9000</v>
      </c>
      <c r="E53" s="145">
        <f t="shared" si="18"/>
        <v>1500</v>
      </c>
      <c r="F53" s="145">
        <f t="shared" si="20"/>
        <v>2500</v>
      </c>
      <c r="G53" s="145">
        <f t="shared" si="11"/>
        <v>4170.2500000000055</v>
      </c>
      <c r="H53" s="146">
        <f t="shared" si="12"/>
        <v>4237.1199999999981</v>
      </c>
      <c r="I53" s="146">
        <f t="shared" si="13"/>
        <v>3953.75</v>
      </c>
      <c r="J53" s="146">
        <f t="shared" si="14"/>
        <v>3578.75</v>
      </c>
      <c r="K53" s="146">
        <f t="shared" si="15"/>
        <v>3830</v>
      </c>
      <c r="L53" s="146">
        <f t="shared" si="16"/>
        <v>4134.939999999996</v>
      </c>
      <c r="M53" s="146">
        <f t="shared" si="17"/>
        <v>5728</v>
      </c>
      <c r="N53" s="145">
        <f t="shared" si="5"/>
        <v>3850</v>
      </c>
      <c r="O53" s="145">
        <f t="shared" si="21"/>
        <v>12150</v>
      </c>
      <c r="P53" s="145">
        <f t="shared" si="22"/>
        <v>1650</v>
      </c>
      <c r="Q53" s="145">
        <f t="shared" si="23"/>
        <v>2750</v>
      </c>
      <c r="R53" s="146">
        <f t="shared" si="24"/>
        <v>12150</v>
      </c>
      <c r="S53" s="146">
        <f t="shared" si="25"/>
        <v>1650</v>
      </c>
      <c r="T53" s="38">
        <f t="shared" si="8"/>
        <v>10500</v>
      </c>
      <c r="U53" s="6"/>
      <c r="V53" s="7"/>
    </row>
    <row r="54" spans="1:22" x14ac:dyDescent="0.3">
      <c r="A54" s="8"/>
      <c r="B54" s="22"/>
      <c r="C54" s="8"/>
      <c r="D54" s="8"/>
      <c r="E54" s="8"/>
      <c r="F54" s="8"/>
      <c r="G54" s="8"/>
      <c r="H54" s="14"/>
      <c r="I54" s="14"/>
      <c r="J54" s="14"/>
      <c r="K54" s="14"/>
      <c r="L54" s="14"/>
      <c r="M54" s="14"/>
      <c r="N54" s="8"/>
      <c r="O54" s="8"/>
      <c r="P54" s="8"/>
      <c r="Q54" s="8"/>
      <c r="R54" s="14"/>
      <c r="S54" s="14"/>
      <c r="T54" s="10"/>
    </row>
    <row r="55" spans="1:22" x14ac:dyDescent="0.3">
      <c r="A55" s="8"/>
      <c r="B55" s="22"/>
      <c r="C55" s="8"/>
      <c r="D55" s="8"/>
      <c r="E55" s="8"/>
      <c r="F55" s="8"/>
      <c r="G55" s="8"/>
      <c r="H55" s="14"/>
      <c r="I55" s="14"/>
      <c r="J55" s="14"/>
      <c r="K55" s="14"/>
      <c r="L55" s="14"/>
      <c r="M55" s="14"/>
      <c r="N55" s="8"/>
      <c r="O55" s="8"/>
      <c r="P55" s="8"/>
      <c r="Q55" s="8"/>
      <c r="R55" s="14"/>
      <c r="S55" s="14"/>
      <c r="T55" s="10"/>
    </row>
    <row r="56" spans="1:22" x14ac:dyDescent="0.3">
      <c r="A56" s="8"/>
      <c r="B56" s="22"/>
      <c r="C56" s="8"/>
      <c r="D56" s="8"/>
      <c r="E56" s="8"/>
      <c r="F56" s="8"/>
      <c r="G56" s="8"/>
      <c r="H56" s="14"/>
      <c r="I56" s="14"/>
      <c r="J56" s="14"/>
      <c r="K56" s="14"/>
      <c r="L56" s="14"/>
      <c r="M56" s="14"/>
      <c r="N56" s="8"/>
      <c r="O56" s="8"/>
      <c r="P56" s="8"/>
      <c r="Q56" s="8"/>
      <c r="R56" s="14"/>
      <c r="S56" s="14"/>
      <c r="T56" s="10"/>
    </row>
    <row r="57" spans="1:22" x14ac:dyDescent="0.3">
      <c r="A57" s="8"/>
      <c r="B57" s="22"/>
      <c r="C57" s="8"/>
      <c r="D57" s="8"/>
      <c r="E57" s="8"/>
      <c r="F57" s="8"/>
      <c r="G57" s="8"/>
      <c r="H57" s="14"/>
      <c r="I57" s="14"/>
      <c r="J57" s="14"/>
      <c r="K57" s="14"/>
      <c r="L57" s="14"/>
      <c r="M57" s="14"/>
      <c r="N57" s="8"/>
      <c r="O57" s="8"/>
      <c r="P57" s="8"/>
      <c r="Q57" s="8"/>
      <c r="R57" s="14"/>
      <c r="S57" s="14"/>
      <c r="T57" s="10"/>
    </row>
    <row r="58" spans="1:22" x14ac:dyDescent="0.3">
      <c r="A58" s="8"/>
      <c r="B58" s="22"/>
      <c r="C58" s="8"/>
      <c r="D58" s="8"/>
      <c r="E58" s="8"/>
      <c r="F58" s="8"/>
      <c r="G58" s="8"/>
      <c r="H58" s="14"/>
      <c r="I58" s="14"/>
      <c r="J58" s="14"/>
      <c r="K58" s="14"/>
      <c r="L58" s="14"/>
      <c r="M58" s="14"/>
      <c r="N58" s="8"/>
      <c r="O58" s="8"/>
      <c r="P58" s="8"/>
      <c r="Q58" s="8"/>
      <c r="R58" s="14"/>
      <c r="S58" s="14"/>
      <c r="T58" s="10"/>
    </row>
    <row r="59" spans="1:22" x14ac:dyDescent="0.3">
      <c r="A59" s="8"/>
      <c r="B59" s="22"/>
      <c r="C59" s="8"/>
      <c r="D59" s="8"/>
      <c r="E59" s="8"/>
      <c r="F59" s="8"/>
      <c r="G59" s="8"/>
      <c r="H59" s="14"/>
      <c r="I59" s="14"/>
      <c r="J59" s="14"/>
      <c r="K59" s="14"/>
      <c r="L59" s="14"/>
      <c r="M59" s="14"/>
      <c r="N59" s="8"/>
      <c r="O59" s="8"/>
      <c r="P59" s="8"/>
      <c r="Q59" s="8"/>
      <c r="R59" s="14"/>
      <c r="S59" s="14"/>
      <c r="T59" s="10"/>
    </row>
    <row r="60" spans="1:22" x14ac:dyDescent="0.3">
      <c r="A60" s="8"/>
      <c r="B60" s="22"/>
      <c r="C60" s="8"/>
      <c r="D60" s="8"/>
      <c r="E60" s="8"/>
      <c r="F60" s="8"/>
      <c r="G60" s="8"/>
      <c r="H60" s="14"/>
      <c r="I60" s="14"/>
      <c r="J60" s="14"/>
      <c r="K60" s="14"/>
      <c r="L60" s="14"/>
      <c r="M60" s="14"/>
      <c r="N60" s="8"/>
      <c r="O60" s="8"/>
      <c r="P60" s="8"/>
      <c r="Q60" s="8"/>
      <c r="R60" s="14"/>
      <c r="S60" s="14"/>
      <c r="T60" s="10"/>
    </row>
    <row r="61" spans="1:22" x14ac:dyDescent="0.3">
      <c r="A61" s="8"/>
      <c r="B61" s="22"/>
      <c r="C61" s="8"/>
      <c r="D61" s="8"/>
      <c r="E61" s="8"/>
      <c r="F61" s="8"/>
      <c r="G61" s="8"/>
      <c r="H61" s="14"/>
      <c r="I61" s="14"/>
      <c r="J61" s="14"/>
      <c r="K61" s="14"/>
      <c r="L61" s="14"/>
      <c r="M61" s="14"/>
      <c r="N61" s="8"/>
      <c r="O61" s="8"/>
      <c r="P61" s="8"/>
      <c r="Q61" s="8"/>
      <c r="R61" s="14"/>
      <c r="S61" s="14"/>
      <c r="T61" s="10"/>
    </row>
    <row r="62" spans="1:22" x14ac:dyDescent="0.3">
      <c r="A62" s="8"/>
      <c r="B62" s="22"/>
      <c r="C62" s="8"/>
      <c r="D62" s="8"/>
      <c r="E62" s="8"/>
      <c r="F62" s="8"/>
      <c r="G62" s="8"/>
      <c r="H62" s="14"/>
      <c r="I62" s="14"/>
      <c r="J62" s="14"/>
      <c r="K62" s="14"/>
      <c r="L62" s="14"/>
      <c r="M62" s="14"/>
      <c r="N62" s="8"/>
      <c r="O62" s="8"/>
      <c r="P62" s="8"/>
      <c r="Q62" s="8"/>
      <c r="R62" s="14"/>
      <c r="S62" s="14"/>
      <c r="T62" s="10"/>
    </row>
    <row r="63" spans="1:22" x14ac:dyDescent="0.3">
      <c r="A63" s="8"/>
      <c r="B63" s="22"/>
      <c r="C63" s="8"/>
      <c r="D63" s="8"/>
      <c r="E63" s="8"/>
      <c r="F63" s="8"/>
      <c r="G63" s="8"/>
      <c r="H63" s="14"/>
      <c r="I63" s="14"/>
      <c r="J63" s="14"/>
      <c r="K63" s="14"/>
      <c r="L63" s="14"/>
      <c r="M63" s="14"/>
      <c r="N63" s="8"/>
      <c r="O63" s="8"/>
      <c r="P63" s="8"/>
      <c r="Q63" s="8"/>
      <c r="R63" s="14"/>
      <c r="S63" s="14"/>
      <c r="T63" s="10"/>
    </row>
    <row r="64" spans="1:22" x14ac:dyDescent="0.3">
      <c r="A64" s="8"/>
      <c r="B64" s="22"/>
      <c r="C64" s="8"/>
      <c r="D64" s="8"/>
      <c r="E64" s="8"/>
      <c r="F64" s="8"/>
      <c r="G64" s="8"/>
      <c r="H64" s="14"/>
      <c r="I64" s="14"/>
      <c r="J64" s="14"/>
      <c r="K64" s="14"/>
      <c r="L64" s="14"/>
      <c r="M64" s="14"/>
      <c r="N64" s="8"/>
      <c r="O64" s="8"/>
      <c r="P64" s="8"/>
      <c r="Q64" s="8"/>
      <c r="R64" s="14"/>
      <c r="S64" s="14"/>
      <c r="T64" s="10"/>
    </row>
    <row r="65" spans="1:20" x14ac:dyDescent="0.3">
      <c r="A65" s="8"/>
      <c r="B65" s="22"/>
      <c r="C65" s="8"/>
      <c r="D65" s="8"/>
      <c r="E65" s="8"/>
      <c r="F65" s="8"/>
      <c r="G65" s="8"/>
      <c r="H65" s="14"/>
      <c r="I65" s="14"/>
      <c r="J65" s="14"/>
      <c r="K65" s="14"/>
      <c r="L65" s="14"/>
      <c r="M65" s="14"/>
      <c r="N65" s="8"/>
      <c r="O65" s="8"/>
      <c r="P65" s="8"/>
      <c r="Q65" s="8"/>
      <c r="R65" s="14"/>
      <c r="S65" s="14"/>
      <c r="T65" s="10"/>
    </row>
    <row r="66" spans="1:20" x14ac:dyDescent="0.3">
      <c r="A66" s="8"/>
      <c r="B66" s="22"/>
      <c r="C66" s="8"/>
      <c r="D66" s="8"/>
      <c r="E66" s="8"/>
      <c r="F66" s="8"/>
      <c r="G66" s="8"/>
      <c r="H66" s="14"/>
      <c r="I66" s="14"/>
      <c r="J66" s="14"/>
      <c r="K66" s="14"/>
      <c r="L66" s="14"/>
      <c r="M66" s="14"/>
      <c r="N66" s="8"/>
      <c r="O66" s="8"/>
      <c r="P66" s="8"/>
      <c r="Q66" s="8"/>
      <c r="R66" s="14"/>
      <c r="S66" s="14"/>
      <c r="T66" s="10"/>
    </row>
    <row r="67" spans="1:20" x14ac:dyDescent="0.3">
      <c r="A67" s="8"/>
      <c r="B67" s="22"/>
      <c r="C67" s="8"/>
      <c r="D67" s="8"/>
      <c r="E67" s="8"/>
      <c r="F67" s="8"/>
      <c r="G67" s="8"/>
      <c r="H67" s="14"/>
      <c r="I67" s="14"/>
      <c r="J67" s="14"/>
      <c r="K67" s="14"/>
      <c r="L67" s="14"/>
      <c r="M67" s="14"/>
      <c r="N67" s="8"/>
      <c r="O67" s="8"/>
      <c r="P67" s="8"/>
      <c r="Q67" s="8"/>
      <c r="R67" s="14"/>
      <c r="S67" s="14"/>
      <c r="T67" s="10"/>
    </row>
    <row r="68" spans="1:20" x14ac:dyDescent="0.3">
      <c r="A68" s="8"/>
      <c r="B68" s="22"/>
      <c r="C68" s="8"/>
      <c r="D68" s="8"/>
      <c r="E68" s="8"/>
      <c r="F68" s="8"/>
      <c r="G68" s="8"/>
      <c r="H68" s="14"/>
      <c r="I68" s="14"/>
      <c r="J68" s="14"/>
      <c r="K68" s="14"/>
      <c r="L68" s="14"/>
      <c r="M68" s="14"/>
      <c r="N68" s="8"/>
      <c r="O68" s="8"/>
      <c r="P68" s="8"/>
      <c r="Q68" s="8"/>
      <c r="R68" s="14"/>
      <c r="S68" s="14"/>
      <c r="T68" s="10"/>
    </row>
    <row r="69" spans="1:20" x14ac:dyDescent="0.3">
      <c r="A69" s="8"/>
      <c r="B69" s="22"/>
      <c r="C69" s="8"/>
      <c r="D69" s="8"/>
      <c r="E69" s="8"/>
      <c r="F69" s="8"/>
      <c r="G69" s="8"/>
      <c r="H69" s="14"/>
      <c r="I69" s="14"/>
      <c r="J69" s="14"/>
      <c r="K69" s="14"/>
      <c r="L69" s="14"/>
      <c r="M69" s="14"/>
      <c r="N69" s="8"/>
      <c r="O69" s="8"/>
      <c r="P69" s="8"/>
      <c r="Q69" s="8"/>
      <c r="R69" s="14"/>
      <c r="S69" s="14"/>
      <c r="T69" s="10"/>
    </row>
    <row r="70" spans="1:20" x14ac:dyDescent="0.3">
      <c r="A70" s="8"/>
      <c r="B70" s="22"/>
      <c r="C70" s="8"/>
      <c r="D70" s="8"/>
      <c r="E70" s="8"/>
      <c r="F70" s="8"/>
      <c r="G70" s="8"/>
      <c r="H70" s="14"/>
      <c r="I70" s="14"/>
      <c r="J70" s="14"/>
      <c r="K70" s="14"/>
      <c r="L70" s="14"/>
      <c r="M70" s="14"/>
      <c r="N70" s="8"/>
      <c r="O70" s="8"/>
      <c r="P70" s="8"/>
      <c r="Q70" s="8"/>
      <c r="R70" s="14"/>
      <c r="S70" s="14"/>
      <c r="T70" s="10"/>
    </row>
    <row r="71" spans="1:20" x14ac:dyDescent="0.3">
      <c r="A71" s="8"/>
      <c r="B71" s="22"/>
      <c r="C71" s="8"/>
      <c r="D71" s="8"/>
      <c r="E71" s="8"/>
      <c r="F71" s="8"/>
      <c r="G71" s="8"/>
      <c r="H71" s="14"/>
      <c r="I71" s="14"/>
      <c r="J71" s="14"/>
      <c r="K71" s="14"/>
      <c r="L71" s="14"/>
      <c r="M71" s="14"/>
      <c r="N71" s="8"/>
      <c r="O71" s="8"/>
      <c r="P71" s="8"/>
      <c r="Q71" s="8"/>
      <c r="R71" s="14"/>
      <c r="S71" s="14"/>
      <c r="T71" s="10"/>
    </row>
    <row r="72" spans="1:20" x14ac:dyDescent="0.3">
      <c r="A72" s="8"/>
      <c r="B72" s="22"/>
      <c r="C72" s="8"/>
      <c r="D72" s="8"/>
      <c r="E72" s="8"/>
      <c r="F72" s="8"/>
      <c r="G72" s="8"/>
      <c r="H72" s="14"/>
      <c r="I72" s="14"/>
      <c r="J72" s="14"/>
      <c r="K72" s="14"/>
      <c r="L72" s="14"/>
      <c r="M72" s="14"/>
      <c r="N72" s="8"/>
      <c r="O72" s="8"/>
      <c r="P72" s="8"/>
      <c r="Q72" s="8"/>
      <c r="R72" s="14"/>
      <c r="S72" s="14"/>
      <c r="T72" s="10"/>
    </row>
    <row r="73" spans="1:20" x14ac:dyDescent="0.3">
      <c r="A73" s="8"/>
      <c r="B73" s="22"/>
      <c r="C73" s="8"/>
      <c r="D73" s="8"/>
      <c r="E73" s="8"/>
      <c r="F73" s="8"/>
      <c r="G73" s="8"/>
      <c r="H73" s="14"/>
      <c r="I73" s="14"/>
      <c r="J73" s="14"/>
      <c r="K73" s="14"/>
      <c r="L73" s="14"/>
      <c r="M73" s="14"/>
      <c r="N73" s="8"/>
      <c r="O73" s="8"/>
      <c r="P73" s="8"/>
      <c r="Q73" s="8"/>
      <c r="R73" s="14"/>
      <c r="S73" s="14"/>
      <c r="T73" s="10"/>
    </row>
    <row r="74" spans="1:20" x14ac:dyDescent="0.3">
      <c r="A74" s="8"/>
      <c r="B74" s="22"/>
      <c r="C74" s="8"/>
      <c r="D74" s="8"/>
      <c r="E74" s="8"/>
      <c r="F74" s="8"/>
      <c r="G74" s="8"/>
      <c r="H74" s="14"/>
      <c r="I74" s="14"/>
      <c r="J74" s="14"/>
      <c r="K74" s="14"/>
      <c r="L74" s="14"/>
      <c r="M74" s="14"/>
      <c r="N74" s="8"/>
      <c r="O74" s="8"/>
      <c r="P74" s="8"/>
      <c r="Q74" s="8"/>
      <c r="R74" s="14"/>
      <c r="S74" s="14"/>
      <c r="T74" s="10"/>
    </row>
    <row r="75" spans="1:20" x14ac:dyDescent="0.3">
      <c r="A75" s="8"/>
      <c r="B75" s="22"/>
      <c r="C75" s="8"/>
      <c r="D75" s="8"/>
      <c r="E75" s="8"/>
      <c r="F75" s="8"/>
      <c r="G75" s="8"/>
      <c r="H75" s="14"/>
      <c r="I75" s="14"/>
      <c r="J75" s="14"/>
      <c r="K75" s="14"/>
      <c r="L75" s="14"/>
      <c r="M75" s="14"/>
      <c r="N75" s="8"/>
      <c r="O75" s="8"/>
      <c r="P75" s="8"/>
      <c r="Q75" s="8"/>
      <c r="R75" s="14"/>
      <c r="S75" s="14"/>
      <c r="T75" s="10"/>
    </row>
    <row r="76" spans="1:20" x14ac:dyDescent="0.3">
      <c r="A76" s="8"/>
      <c r="B76" s="22"/>
      <c r="C76" s="8"/>
      <c r="D76" s="8"/>
      <c r="E76" s="8"/>
      <c r="F76" s="8"/>
      <c r="G76" s="8"/>
      <c r="H76" s="14"/>
      <c r="I76" s="14"/>
      <c r="J76" s="14"/>
      <c r="K76" s="14"/>
      <c r="L76" s="14"/>
      <c r="M76" s="14"/>
      <c r="N76" s="8"/>
      <c r="O76" s="8"/>
      <c r="P76" s="8"/>
      <c r="Q76" s="8"/>
      <c r="R76" s="14"/>
      <c r="S76" s="14"/>
      <c r="T76" s="10"/>
    </row>
    <row r="77" spans="1:20" x14ac:dyDescent="0.3">
      <c r="A77" s="8"/>
      <c r="B77" s="22"/>
      <c r="C77" s="8"/>
      <c r="D77" s="8"/>
      <c r="E77" s="8"/>
      <c r="F77" s="8"/>
      <c r="G77" s="8"/>
      <c r="H77" s="14"/>
      <c r="I77" s="14"/>
      <c r="J77" s="14"/>
      <c r="K77" s="14"/>
      <c r="L77" s="14"/>
      <c r="M77" s="14"/>
      <c r="N77" s="8"/>
      <c r="O77" s="8"/>
      <c r="P77" s="8"/>
      <c r="Q77" s="8"/>
      <c r="R77" s="14"/>
      <c r="S77" s="14"/>
      <c r="T77" s="10"/>
    </row>
    <row r="78" spans="1:20" x14ac:dyDescent="0.3">
      <c r="A78" s="8"/>
      <c r="B78" s="22"/>
      <c r="C78" s="8"/>
      <c r="D78" s="8"/>
      <c r="E78" s="8"/>
      <c r="F78" s="8"/>
      <c r="G78" s="8"/>
      <c r="H78" s="14"/>
      <c r="I78" s="14"/>
      <c r="J78" s="14"/>
      <c r="K78" s="14"/>
      <c r="L78" s="14"/>
      <c r="M78" s="14"/>
      <c r="N78" s="8"/>
      <c r="O78" s="8"/>
      <c r="P78" s="8"/>
      <c r="Q78" s="8"/>
      <c r="R78" s="14"/>
      <c r="S78" s="14"/>
      <c r="T78" s="10"/>
    </row>
    <row r="79" spans="1:20" x14ac:dyDescent="0.3">
      <c r="A79" s="8"/>
      <c r="B79" s="22"/>
      <c r="C79" s="8"/>
      <c r="D79" s="8"/>
      <c r="E79" s="8"/>
      <c r="F79" s="8"/>
      <c r="G79" s="8"/>
      <c r="H79" s="14"/>
      <c r="I79" s="14"/>
      <c r="J79" s="14"/>
      <c r="K79" s="14"/>
      <c r="L79" s="14"/>
      <c r="M79" s="14"/>
      <c r="N79" s="8"/>
      <c r="O79" s="8"/>
      <c r="P79" s="8"/>
      <c r="Q79" s="8"/>
      <c r="R79" s="14"/>
      <c r="S79" s="14"/>
      <c r="T79" s="10"/>
    </row>
    <row r="80" spans="1:20" x14ac:dyDescent="0.3">
      <c r="A80" s="8"/>
      <c r="B80" s="22"/>
      <c r="C80" s="8"/>
      <c r="D80" s="8"/>
      <c r="E80" s="8"/>
      <c r="F80" s="8"/>
      <c r="G80" s="8"/>
      <c r="H80" s="14"/>
      <c r="I80" s="14"/>
      <c r="J80" s="14"/>
      <c r="K80" s="14"/>
      <c r="L80" s="14"/>
      <c r="M80" s="14"/>
      <c r="N80" s="8"/>
      <c r="O80" s="8"/>
      <c r="P80" s="8"/>
      <c r="Q80" s="8"/>
      <c r="R80" s="14"/>
      <c r="S80" s="14"/>
      <c r="T80" s="10"/>
    </row>
    <row r="81" spans="1:20" x14ac:dyDescent="0.3">
      <c r="A81" s="8"/>
      <c r="B81" s="22"/>
      <c r="C81" s="8"/>
      <c r="D81" s="8"/>
      <c r="E81" s="8"/>
      <c r="F81" s="8"/>
      <c r="G81" s="8"/>
      <c r="H81" s="14"/>
      <c r="I81" s="14"/>
      <c r="J81" s="14"/>
      <c r="K81" s="14"/>
      <c r="L81" s="14"/>
      <c r="M81" s="14"/>
      <c r="N81" s="8"/>
      <c r="O81" s="8"/>
      <c r="P81" s="8"/>
      <c r="Q81" s="8"/>
      <c r="R81" s="14"/>
      <c r="S81" s="14"/>
      <c r="T81" s="10"/>
    </row>
    <row r="82" spans="1:20" x14ac:dyDescent="0.3">
      <c r="A82" s="8"/>
      <c r="B82" s="22"/>
      <c r="C82" s="8"/>
      <c r="D82" s="8"/>
      <c r="E82" s="8"/>
      <c r="F82" s="8"/>
      <c r="G82" s="8"/>
      <c r="H82" s="14"/>
      <c r="I82" s="14"/>
      <c r="J82" s="14"/>
      <c r="K82" s="14"/>
      <c r="L82" s="14"/>
      <c r="M82" s="14"/>
      <c r="N82" s="8"/>
      <c r="O82" s="8"/>
      <c r="P82" s="8"/>
      <c r="Q82" s="8"/>
      <c r="R82" s="14"/>
      <c r="S82" s="14"/>
      <c r="T82" s="10"/>
    </row>
    <row r="83" spans="1:20" x14ac:dyDescent="0.3">
      <c r="A83" s="8"/>
      <c r="B83" s="22"/>
      <c r="C83" s="8"/>
      <c r="D83" s="8"/>
      <c r="E83" s="8"/>
      <c r="F83" s="8"/>
      <c r="G83" s="8"/>
      <c r="H83" s="14"/>
      <c r="I83" s="14"/>
      <c r="J83" s="14"/>
      <c r="K83" s="14"/>
      <c r="L83" s="14"/>
      <c r="M83" s="14"/>
      <c r="N83" s="8"/>
      <c r="O83" s="8"/>
      <c r="P83" s="8"/>
      <c r="Q83" s="8"/>
      <c r="R83" s="14"/>
      <c r="S83" s="14"/>
      <c r="T83" s="10"/>
    </row>
    <row r="84" spans="1:20" x14ac:dyDescent="0.3">
      <c r="A84" s="8"/>
      <c r="B84" s="22"/>
      <c r="C84" s="8"/>
      <c r="D84" s="8"/>
      <c r="E84" s="8"/>
      <c r="F84" s="8"/>
      <c r="G84" s="8"/>
      <c r="H84" s="14"/>
      <c r="I84" s="14"/>
      <c r="J84" s="14"/>
      <c r="K84" s="14"/>
      <c r="L84" s="14"/>
      <c r="M84" s="14"/>
      <c r="N84" s="8"/>
      <c r="O84" s="8"/>
      <c r="P84" s="8"/>
      <c r="Q84" s="8"/>
      <c r="R84" s="14"/>
      <c r="S84" s="14"/>
      <c r="T84" s="10"/>
    </row>
    <row r="85" spans="1:20" x14ac:dyDescent="0.3">
      <c r="A85" s="8"/>
      <c r="B85" s="22"/>
      <c r="C85" s="8"/>
      <c r="D85" s="8"/>
      <c r="E85" s="8"/>
      <c r="F85" s="8"/>
      <c r="G85" s="8"/>
      <c r="H85" s="14"/>
      <c r="I85" s="14"/>
      <c r="J85" s="14"/>
      <c r="K85" s="14"/>
      <c r="L85" s="14"/>
      <c r="M85" s="14"/>
      <c r="N85" s="8"/>
      <c r="O85" s="8"/>
      <c r="P85" s="8"/>
      <c r="Q85" s="8"/>
      <c r="R85" s="14"/>
      <c r="S85" s="14"/>
      <c r="T85" s="10"/>
    </row>
    <row r="86" spans="1:20" x14ac:dyDescent="0.3">
      <c r="A86" s="8"/>
      <c r="B86" s="22"/>
      <c r="C86" s="8"/>
      <c r="D86" s="8"/>
      <c r="E86" s="8"/>
      <c r="F86" s="8"/>
      <c r="G86" s="8"/>
      <c r="H86" s="14"/>
      <c r="I86" s="14"/>
      <c r="J86" s="14"/>
      <c r="K86" s="14"/>
      <c r="L86" s="14"/>
      <c r="M86" s="14"/>
      <c r="N86" s="8"/>
      <c r="O86" s="8"/>
      <c r="P86" s="8"/>
      <c r="Q86" s="8"/>
      <c r="R86" s="14"/>
      <c r="S86" s="14"/>
      <c r="T86" s="10"/>
    </row>
    <row r="87" spans="1:20" x14ac:dyDescent="0.3">
      <c r="A87" s="8"/>
      <c r="B87" s="22"/>
      <c r="C87" s="8"/>
      <c r="D87" s="8"/>
      <c r="E87" s="8"/>
      <c r="F87" s="8"/>
      <c r="G87" s="8"/>
      <c r="H87" s="14"/>
      <c r="I87" s="14"/>
      <c r="J87" s="14"/>
      <c r="K87" s="14"/>
      <c r="L87" s="14"/>
      <c r="M87" s="14"/>
      <c r="N87" s="8"/>
      <c r="O87" s="8"/>
      <c r="P87" s="8"/>
      <c r="Q87" s="8"/>
      <c r="R87" s="14"/>
      <c r="S87" s="14"/>
      <c r="T87" s="10"/>
    </row>
    <row r="88" spans="1:20" x14ac:dyDescent="0.3">
      <c r="A88" s="8"/>
      <c r="B88" s="22"/>
      <c r="C88" s="8"/>
      <c r="D88" s="8"/>
      <c r="E88" s="8"/>
      <c r="F88" s="8"/>
      <c r="G88" s="8"/>
      <c r="H88" s="14"/>
      <c r="I88" s="14"/>
      <c r="J88" s="14"/>
      <c r="K88" s="14"/>
      <c r="L88" s="14"/>
      <c r="M88" s="14"/>
      <c r="N88" s="8"/>
      <c r="O88" s="8"/>
      <c r="P88" s="8"/>
      <c r="Q88" s="8"/>
      <c r="R88" s="14"/>
      <c r="S88" s="14"/>
      <c r="T88" s="10"/>
    </row>
    <row r="89" spans="1:20" x14ac:dyDescent="0.3">
      <c r="A89" s="8"/>
      <c r="B89" s="22"/>
      <c r="C89" s="8"/>
      <c r="D89" s="8"/>
      <c r="E89" s="8"/>
      <c r="F89" s="8"/>
      <c r="G89" s="8"/>
      <c r="H89" s="14"/>
      <c r="I89" s="14"/>
      <c r="J89" s="14"/>
      <c r="K89" s="14"/>
      <c r="L89" s="14"/>
      <c r="M89" s="14"/>
      <c r="N89" s="8"/>
      <c r="O89" s="8"/>
      <c r="P89" s="8"/>
      <c r="Q89" s="8"/>
      <c r="R89" s="14"/>
      <c r="S89" s="14"/>
      <c r="T89" s="10"/>
    </row>
    <row r="90" spans="1:20" x14ac:dyDescent="0.3">
      <c r="A90" s="8"/>
      <c r="B90" s="22"/>
      <c r="C90" s="8"/>
      <c r="D90" s="8"/>
      <c r="E90" s="8"/>
      <c r="F90" s="8"/>
      <c r="G90" s="8"/>
      <c r="H90" s="14"/>
      <c r="I90" s="14"/>
      <c r="J90" s="14"/>
      <c r="K90" s="14"/>
      <c r="L90" s="14"/>
      <c r="M90" s="14"/>
      <c r="N90" s="8"/>
      <c r="O90" s="8"/>
      <c r="P90" s="8"/>
      <c r="Q90" s="8"/>
      <c r="R90" s="14"/>
      <c r="S90" s="14"/>
      <c r="T90" s="10"/>
    </row>
    <row r="91" spans="1:20" x14ac:dyDescent="0.3">
      <c r="A91" s="8"/>
      <c r="B91" s="22"/>
      <c r="C91" s="8"/>
      <c r="D91" s="8"/>
      <c r="E91" s="8"/>
      <c r="F91" s="8"/>
      <c r="G91" s="8"/>
      <c r="H91" s="14"/>
      <c r="I91" s="14"/>
      <c r="J91" s="14"/>
      <c r="K91" s="14"/>
      <c r="L91" s="14"/>
      <c r="M91" s="14"/>
      <c r="N91" s="8"/>
      <c r="O91" s="8"/>
      <c r="P91" s="8"/>
      <c r="Q91" s="8"/>
      <c r="R91" s="14"/>
      <c r="S91" s="14"/>
      <c r="T91" s="10"/>
    </row>
    <row r="92" spans="1:20" x14ac:dyDescent="0.3">
      <c r="A92" s="8"/>
      <c r="B92" s="22"/>
      <c r="C92" s="8"/>
      <c r="D92" s="8"/>
      <c r="E92" s="8"/>
      <c r="F92" s="8"/>
      <c r="G92" s="8"/>
      <c r="H92" s="14"/>
      <c r="I92" s="14"/>
      <c r="J92" s="14"/>
      <c r="K92" s="14"/>
      <c r="L92" s="14"/>
      <c r="M92" s="14"/>
      <c r="N92" s="8"/>
      <c r="O92" s="8"/>
      <c r="P92" s="8"/>
      <c r="Q92" s="8"/>
      <c r="R92" s="14"/>
      <c r="S92" s="14"/>
      <c r="T92" s="10"/>
    </row>
    <row r="93" spans="1:20" x14ac:dyDescent="0.3">
      <c r="A93" s="8"/>
      <c r="B93" s="22"/>
      <c r="C93" s="8"/>
      <c r="D93" s="8"/>
      <c r="E93" s="8"/>
      <c r="F93" s="8"/>
      <c r="G93" s="8"/>
      <c r="H93" s="14"/>
      <c r="I93" s="14"/>
      <c r="J93" s="14"/>
      <c r="K93" s="14"/>
      <c r="L93" s="14"/>
      <c r="M93" s="14"/>
      <c r="N93" s="8"/>
      <c r="O93" s="8"/>
      <c r="P93" s="8"/>
      <c r="Q93" s="8"/>
      <c r="R93" s="14"/>
      <c r="S93" s="14"/>
      <c r="T93" s="10"/>
    </row>
    <row r="94" spans="1:20" x14ac:dyDescent="0.3">
      <c r="A94" s="8"/>
      <c r="B94" s="22"/>
      <c r="C94" s="8"/>
      <c r="D94" s="8"/>
      <c r="E94" s="8"/>
      <c r="F94" s="8"/>
      <c r="G94" s="8"/>
      <c r="H94" s="14"/>
      <c r="I94" s="14"/>
      <c r="J94" s="14"/>
      <c r="K94" s="14"/>
      <c r="L94" s="14"/>
      <c r="M94" s="14"/>
      <c r="N94" s="8"/>
      <c r="O94" s="8"/>
      <c r="P94" s="8"/>
      <c r="Q94" s="8"/>
      <c r="R94" s="14"/>
      <c r="S94" s="14"/>
      <c r="T94" s="10"/>
    </row>
    <row r="95" spans="1:20" x14ac:dyDescent="0.3">
      <c r="A95" s="8"/>
      <c r="B95" s="22"/>
      <c r="C95" s="8"/>
      <c r="D95" s="8"/>
      <c r="E95" s="8"/>
      <c r="F95" s="8"/>
      <c r="G95" s="8"/>
      <c r="H95" s="14"/>
      <c r="I95" s="14"/>
      <c r="J95" s="14"/>
      <c r="K95" s="14"/>
      <c r="L95" s="14"/>
      <c r="M95" s="14"/>
      <c r="N95" s="8"/>
      <c r="O95" s="8"/>
      <c r="P95" s="8"/>
      <c r="Q95" s="8"/>
      <c r="R95" s="14"/>
      <c r="S95" s="14"/>
      <c r="T95" s="10"/>
    </row>
    <row r="96" spans="1:20" x14ac:dyDescent="0.3">
      <c r="A96" s="8"/>
      <c r="B96" s="22"/>
      <c r="C96" s="8"/>
      <c r="D96" s="8"/>
      <c r="E96" s="8"/>
      <c r="F96" s="8"/>
      <c r="G96" s="8"/>
      <c r="H96" s="14"/>
      <c r="I96" s="14"/>
      <c r="J96" s="14"/>
      <c r="K96" s="14"/>
      <c r="L96" s="14"/>
      <c r="M96" s="14"/>
      <c r="N96" s="8"/>
      <c r="O96" s="8"/>
      <c r="P96" s="8"/>
      <c r="Q96" s="8"/>
      <c r="R96" s="14"/>
      <c r="S96" s="14"/>
      <c r="T96" s="10"/>
    </row>
    <row r="97" spans="1:22" x14ac:dyDescent="0.3">
      <c r="A97" s="8"/>
      <c r="B97" s="22"/>
      <c r="C97" s="8"/>
      <c r="D97" s="8"/>
      <c r="E97" s="8"/>
      <c r="F97" s="8"/>
      <c r="G97" s="8"/>
      <c r="H97" s="14"/>
      <c r="I97" s="14"/>
      <c r="J97" s="14"/>
      <c r="K97" s="14"/>
      <c r="L97" s="14"/>
      <c r="M97" s="14"/>
      <c r="N97" s="8"/>
      <c r="O97" s="8"/>
      <c r="P97" s="8"/>
      <c r="Q97" s="8"/>
      <c r="R97" s="14"/>
      <c r="S97" s="14"/>
      <c r="T97" s="10"/>
    </row>
    <row r="98" spans="1:22" x14ac:dyDescent="0.3">
      <c r="A98" s="8"/>
      <c r="B98" s="22"/>
      <c r="C98" s="8"/>
      <c r="D98" s="8"/>
      <c r="E98" s="8"/>
      <c r="F98" s="8"/>
      <c r="G98" s="8"/>
      <c r="H98" s="14"/>
      <c r="I98" s="14"/>
      <c r="J98" s="14"/>
      <c r="K98" s="14"/>
      <c r="L98" s="14"/>
      <c r="M98" s="14"/>
      <c r="N98" s="8"/>
      <c r="O98" s="8"/>
      <c r="P98" s="8"/>
      <c r="Q98" s="8"/>
      <c r="R98" s="14"/>
      <c r="S98" s="14"/>
      <c r="T98" s="10"/>
    </row>
    <row r="99" spans="1:22" x14ac:dyDescent="0.3">
      <c r="A99" s="8"/>
      <c r="B99" s="22"/>
      <c r="C99" s="8"/>
      <c r="D99" s="8"/>
      <c r="E99" s="8"/>
      <c r="F99" s="8"/>
      <c r="G99" s="8"/>
      <c r="H99" s="14"/>
      <c r="I99" s="14"/>
      <c r="J99" s="14"/>
      <c r="K99" s="14"/>
      <c r="L99" s="14"/>
      <c r="M99" s="14"/>
      <c r="N99" s="8"/>
      <c r="O99" s="8"/>
      <c r="P99" s="8"/>
      <c r="Q99" s="8"/>
      <c r="R99" s="14"/>
      <c r="S99" s="14"/>
      <c r="T99" s="10"/>
    </row>
    <row r="100" spans="1:22" x14ac:dyDescent="0.3">
      <c r="A100" s="8"/>
      <c r="B100" s="22"/>
      <c r="C100" s="8"/>
      <c r="D100" s="8"/>
      <c r="E100" s="8"/>
      <c r="F100" s="8"/>
      <c r="G100" s="8"/>
      <c r="H100" s="14"/>
      <c r="I100" s="14"/>
      <c r="J100" s="14"/>
      <c r="K100" s="14"/>
      <c r="L100" s="14"/>
      <c r="M100" s="14"/>
      <c r="N100" s="8"/>
      <c r="O100" s="8"/>
      <c r="P100" s="8"/>
      <c r="Q100" s="8"/>
      <c r="R100" s="14"/>
      <c r="S100" s="14"/>
      <c r="T100" s="10"/>
    </row>
    <row r="101" spans="1:22" x14ac:dyDescent="0.3">
      <c r="A101" s="8"/>
      <c r="B101" s="22"/>
      <c r="C101" s="8"/>
      <c r="D101" s="8"/>
      <c r="E101" s="8"/>
      <c r="F101" s="8"/>
      <c r="G101" s="8"/>
      <c r="H101" s="14"/>
      <c r="I101" s="14"/>
      <c r="J101" s="14"/>
      <c r="K101" s="14"/>
      <c r="L101" s="14"/>
      <c r="M101" s="14"/>
      <c r="N101" s="8"/>
      <c r="O101" s="8"/>
      <c r="P101" s="8"/>
      <c r="Q101" s="8"/>
      <c r="R101" s="14"/>
      <c r="S101" s="14"/>
      <c r="T101" s="10"/>
    </row>
    <row r="102" spans="1:22" x14ac:dyDescent="0.3">
      <c r="A102" s="8"/>
      <c r="B102" s="22"/>
      <c r="C102" s="8"/>
      <c r="D102" s="8"/>
      <c r="E102" s="8"/>
      <c r="F102" s="8"/>
      <c r="G102" s="8"/>
      <c r="H102" s="14"/>
      <c r="I102" s="14"/>
      <c r="J102" s="14"/>
      <c r="K102" s="14"/>
      <c r="L102" s="14"/>
      <c r="M102" s="14"/>
      <c r="N102" s="8"/>
      <c r="O102" s="8"/>
      <c r="P102" s="8"/>
      <c r="Q102" s="8"/>
      <c r="R102" s="14"/>
      <c r="S102" s="14"/>
      <c r="T102" s="10"/>
    </row>
    <row r="103" spans="1:22" x14ac:dyDescent="0.3">
      <c r="A103" s="8"/>
      <c r="B103" s="22"/>
      <c r="C103" s="8"/>
      <c r="D103" s="8"/>
      <c r="E103" s="8"/>
      <c r="F103" s="8"/>
      <c r="G103" s="8"/>
      <c r="H103" s="14"/>
      <c r="I103" s="14"/>
      <c r="J103" s="14"/>
      <c r="K103" s="14"/>
      <c r="L103" s="14"/>
      <c r="M103" s="14"/>
      <c r="N103" s="8"/>
      <c r="O103" s="8"/>
      <c r="P103" s="8"/>
      <c r="Q103" s="8"/>
      <c r="R103" s="14"/>
      <c r="S103" s="14"/>
      <c r="T103" s="10"/>
    </row>
    <row r="104" spans="1:22" x14ac:dyDescent="0.3">
      <c r="A104" s="8"/>
      <c r="B104" s="22"/>
      <c r="C104" s="8"/>
      <c r="D104" s="8"/>
      <c r="E104" s="8"/>
      <c r="F104" s="8"/>
      <c r="G104" s="8"/>
      <c r="H104" s="14"/>
      <c r="I104" s="14"/>
      <c r="J104" s="14"/>
      <c r="K104" s="14"/>
      <c r="L104" s="14"/>
      <c r="M104" s="14"/>
      <c r="N104" s="8"/>
      <c r="O104" s="8"/>
      <c r="P104" s="8"/>
      <c r="Q104" s="8"/>
      <c r="R104" s="14"/>
      <c r="S104" s="14"/>
      <c r="T104" s="10"/>
    </row>
    <row r="105" spans="1:22" x14ac:dyDescent="0.3">
      <c r="A105" s="8"/>
      <c r="B105" s="22"/>
      <c r="C105" s="8"/>
      <c r="D105" s="8"/>
      <c r="E105" s="8"/>
      <c r="F105" s="8"/>
      <c r="G105" s="8"/>
      <c r="H105" s="14"/>
      <c r="I105" s="14"/>
      <c r="J105" s="14"/>
      <c r="K105" s="14"/>
      <c r="L105" s="14"/>
      <c r="M105" s="14"/>
      <c r="N105" s="8"/>
      <c r="O105" s="8"/>
      <c r="P105" s="8"/>
      <c r="Q105" s="8"/>
      <c r="R105" s="14"/>
      <c r="S105" s="14"/>
      <c r="T105" s="10"/>
    </row>
    <row r="106" spans="1:22" x14ac:dyDescent="0.3">
      <c r="A106" s="8"/>
      <c r="B106" s="22"/>
      <c r="C106" s="17"/>
      <c r="D106" s="17"/>
      <c r="E106" s="19"/>
      <c r="F106" s="19"/>
      <c r="G106" s="20"/>
      <c r="H106" s="20"/>
      <c r="I106" s="20"/>
      <c r="J106" s="14"/>
      <c r="K106" s="14"/>
      <c r="L106" s="21"/>
      <c r="M106" s="14"/>
      <c r="N106" s="19"/>
      <c r="O106" s="19"/>
      <c r="P106" s="19"/>
      <c r="Q106" s="19"/>
      <c r="R106" s="14"/>
      <c r="S106" s="14"/>
      <c r="T106" s="10"/>
    </row>
    <row r="107" spans="1:22" x14ac:dyDescent="0.3">
      <c r="D107" s="8"/>
      <c r="E107" s="8"/>
      <c r="F107" s="8"/>
      <c r="G107" s="20"/>
      <c r="H107" s="20"/>
      <c r="I107" s="20"/>
      <c r="J107" s="21"/>
      <c r="K107" s="21"/>
      <c r="L107" s="21"/>
      <c r="N107" s="8"/>
      <c r="O107" s="8"/>
      <c r="P107" s="8"/>
      <c r="Q107" s="8"/>
      <c r="R107" s="23"/>
      <c r="S107" s="23"/>
      <c r="T107" s="24"/>
      <c r="U107" s="25"/>
      <c r="V107" s="25"/>
    </row>
    <row r="108" spans="1:22" x14ac:dyDescent="0.3">
      <c r="B108" s="26"/>
      <c r="C108" s="8"/>
      <c r="D108" s="8"/>
      <c r="E108" s="8"/>
      <c r="F108" s="8"/>
      <c r="G108" s="10"/>
      <c r="H108" s="10"/>
      <c r="I108" s="10"/>
      <c r="L108" s="10"/>
      <c r="N108" s="8"/>
      <c r="O108" s="8"/>
      <c r="P108" s="8"/>
      <c r="Q108" s="8"/>
    </row>
    <row r="109" spans="1:22" x14ac:dyDescent="0.3">
      <c r="B109" s="22"/>
      <c r="C109" s="8"/>
      <c r="D109" s="8"/>
      <c r="E109" s="8"/>
      <c r="F109" s="8"/>
      <c r="G109" s="10"/>
      <c r="H109" s="10"/>
      <c r="I109" s="10"/>
      <c r="L109" s="10"/>
      <c r="N109" s="8"/>
      <c r="O109" s="8"/>
      <c r="P109" s="8"/>
      <c r="Q109" s="8"/>
    </row>
    <row r="110" spans="1:22" x14ac:dyDescent="0.3">
      <c r="B110" s="22"/>
      <c r="C110" s="8"/>
      <c r="D110" s="8"/>
      <c r="E110" s="8"/>
      <c r="F110" s="8"/>
      <c r="G110" s="10"/>
      <c r="H110" s="10"/>
      <c r="I110" s="10"/>
      <c r="L110" s="10"/>
      <c r="N110" s="8"/>
      <c r="O110" s="8"/>
      <c r="P110" s="8"/>
      <c r="Q110" s="8"/>
    </row>
    <row r="111" spans="1:22" x14ac:dyDescent="0.3">
      <c r="B111" s="22"/>
      <c r="C111" s="8"/>
      <c r="D111" s="8"/>
      <c r="E111" s="8"/>
      <c r="F111" s="8"/>
      <c r="G111" s="10"/>
      <c r="H111" s="10"/>
      <c r="I111" s="10"/>
      <c r="L111" s="10"/>
      <c r="N111" s="8"/>
      <c r="O111" s="8"/>
      <c r="P111" s="8"/>
      <c r="Q111" s="8"/>
    </row>
    <row r="112" spans="1:22" x14ac:dyDescent="0.3">
      <c r="B112" s="22"/>
      <c r="C112" s="8"/>
      <c r="D112" s="8"/>
      <c r="E112" s="8"/>
      <c r="F112" s="8"/>
      <c r="G112" s="10"/>
      <c r="H112" s="10"/>
      <c r="I112" s="10"/>
      <c r="L112" s="10"/>
      <c r="N112" s="8"/>
      <c r="O112" s="8"/>
      <c r="P112" s="8"/>
      <c r="Q112" s="8"/>
    </row>
    <row r="113" spans="2:17" x14ac:dyDescent="0.3">
      <c r="B113" s="22"/>
      <c r="C113" s="8"/>
      <c r="D113" s="8"/>
      <c r="E113" s="8"/>
      <c r="F113" s="8"/>
      <c r="G113" s="10"/>
      <c r="H113" s="10"/>
      <c r="I113" s="10"/>
      <c r="L113" s="10"/>
      <c r="N113" s="8"/>
      <c r="O113" s="8"/>
      <c r="P113" s="8"/>
      <c r="Q113" s="8"/>
    </row>
    <row r="114" spans="2:17" x14ac:dyDescent="0.3">
      <c r="B114" s="22"/>
      <c r="C114" s="8"/>
      <c r="D114" s="8"/>
      <c r="E114" s="8"/>
      <c r="F114" s="8"/>
      <c r="G114" s="10"/>
      <c r="H114" s="10"/>
      <c r="I114" s="10"/>
      <c r="L114" s="10"/>
      <c r="N114" s="8"/>
      <c r="O114" s="8"/>
      <c r="P114" s="8"/>
      <c r="Q114" s="8"/>
    </row>
    <row r="115" spans="2:17" x14ac:dyDescent="0.3">
      <c r="B115" s="22"/>
      <c r="C115" s="8"/>
      <c r="D115" s="8"/>
      <c r="E115" s="8"/>
      <c r="F115" s="8"/>
      <c r="G115" s="10"/>
      <c r="H115" s="10"/>
      <c r="I115" s="10"/>
      <c r="L115" s="10"/>
      <c r="N115" s="8"/>
      <c r="O115" s="8"/>
      <c r="P115" s="8"/>
      <c r="Q115" s="8"/>
    </row>
    <row r="116" spans="2:17" x14ac:dyDescent="0.3">
      <c r="B116" s="22"/>
      <c r="C116" s="8"/>
      <c r="D116" s="8"/>
      <c r="E116" s="8"/>
      <c r="F116" s="8"/>
      <c r="G116" s="10"/>
      <c r="H116" s="10"/>
      <c r="I116" s="10"/>
      <c r="L116" s="10"/>
      <c r="N116" s="8"/>
      <c r="O116" s="8"/>
      <c r="P116" s="8"/>
      <c r="Q116" s="8"/>
    </row>
    <row r="117" spans="2:17" x14ac:dyDescent="0.3">
      <c r="B117" s="22"/>
      <c r="C117" s="8"/>
      <c r="D117" s="8"/>
      <c r="E117" s="8"/>
      <c r="F117" s="8"/>
      <c r="G117" s="10"/>
      <c r="H117" s="10"/>
      <c r="I117" s="10"/>
      <c r="L117" s="10"/>
      <c r="N117" s="8"/>
      <c r="O117" s="8"/>
      <c r="P117" s="8"/>
      <c r="Q117" s="8"/>
    </row>
    <row r="118" spans="2:17" x14ac:dyDescent="0.3">
      <c r="B118" s="22"/>
      <c r="C118" s="8"/>
      <c r="D118" s="8"/>
      <c r="E118" s="8"/>
      <c r="F118" s="8"/>
      <c r="G118" s="10"/>
      <c r="H118" s="10"/>
      <c r="I118" s="10"/>
      <c r="L118" s="10"/>
      <c r="N118" s="8"/>
      <c r="O118" s="8"/>
      <c r="P118" s="8"/>
      <c r="Q118" s="8"/>
    </row>
    <row r="119" spans="2:17" x14ac:dyDescent="0.3">
      <c r="B119" s="22"/>
      <c r="C119" s="8"/>
      <c r="D119" s="8"/>
      <c r="E119" s="8"/>
      <c r="F119" s="8"/>
      <c r="G119" s="10"/>
      <c r="H119" s="10"/>
      <c r="I119" s="10"/>
      <c r="L119" s="10"/>
      <c r="N119" s="8"/>
      <c r="O119" s="8"/>
      <c r="P119" s="8"/>
      <c r="Q119" s="8"/>
    </row>
    <row r="120" spans="2:17" x14ac:dyDescent="0.3">
      <c r="B120" s="22"/>
      <c r="C120" s="8"/>
      <c r="D120" s="8"/>
      <c r="E120" s="8"/>
      <c r="F120" s="8"/>
      <c r="G120" s="10"/>
      <c r="H120" s="10"/>
      <c r="I120" s="10"/>
      <c r="L120" s="10"/>
      <c r="N120" s="8"/>
      <c r="O120" s="8"/>
      <c r="P120" s="8"/>
      <c r="Q120" s="8"/>
    </row>
    <row r="121" spans="2:17" x14ac:dyDescent="0.3">
      <c r="B121" s="22"/>
      <c r="C121" s="8"/>
      <c r="D121" s="8"/>
      <c r="E121" s="8"/>
      <c r="F121" s="8"/>
      <c r="G121" s="10"/>
      <c r="H121" s="10"/>
      <c r="I121" s="10"/>
      <c r="L121" s="10"/>
      <c r="N121" s="8"/>
      <c r="O121" s="8"/>
      <c r="P121" s="8"/>
      <c r="Q121" s="8"/>
    </row>
    <row r="122" spans="2:17" x14ac:dyDescent="0.3">
      <c r="B122" s="22"/>
      <c r="C122" s="8"/>
      <c r="D122" s="8"/>
      <c r="E122" s="8"/>
      <c r="F122" s="8"/>
      <c r="G122" s="10"/>
      <c r="H122" s="10"/>
      <c r="I122" s="10"/>
      <c r="L122" s="10"/>
      <c r="N122" s="8"/>
      <c r="O122" s="8"/>
      <c r="P122" s="8"/>
      <c r="Q122" s="8"/>
    </row>
    <row r="123" spans="2:17" x14ac:dyDescent="0.3">
      <c r="B123" s="22"/>
      <c r="C123" s="8"/>
      <c r="D123" s="8"/>
      <c r="E123" s="8"/>
      <c r="F123" s="8"/>
      <c r="G123" s="10"/>
      <c r="H123" s="10"/>
      <c r="I123" s="10"/>
      <c r="L123" s="10"/>
      <c r="N123" s="8"/>
      <c r="O123" s="8"/>
      <c r="P123" s="8"/>
      <c r="Q123" s="8"/>
    </row>
    <row r="124" spans="2:17" x14ac:dyDescent="0.3">
      <c r="B124" s="22"/>
      <c r="C124" s="8"/>
      <c r="D124" s="8"/>
      <c r="E124" s="8"/>
      <c r="F124" s="8"/>
      <c r="G124" s="10"/>
      <c r="H124" s="10"/>
      <c r="I124" s="10"/>
      <c r="L124" s="10"/>
      <c r="N124" s="8"/>
      <c r="O124" s="8"/>
      <c r="P124" s="8"/>
      <c r="Q124" s="8"/>
    </row>
    <row r="125" spans="2:17" x14ac:dyDescent="0.3">
      <c r="B125" s="22"/>
      <c r="C125" s="8"/>
      <c r="D125" s="8"/>
      <c r="E125" s="8"/>
      <c r="F125" s="8"/>
      <c r="G125" s="10"/>
      <c r="H125" s="10"/>
      <c r="I125" s="10"/>
      <c r="L125" s="10"/>
      <c r="N125" s="8"/>
      <c r="O125" s="8"/>
      <c r="P125" s="8"/>
      <c r="Q125" s="8"/>
    </row>
    <row r="126" spans="2:17" x14ac:dyDescent="0.3">
      <c r="B126" s="22"/>
      <c r="C126" s="8"/>
      <c r="D126" s="8"/>
      <c r="E126" s="8"/>
      <c r="F126" s="8"/>
      <c r="G126" s="10"/>
      <c r="H126" s="10"/>
      <c r="I126" s="10"/>
      <c r="L126" s="10"/>
      <c r="N126" s="8"/>
      <c r="O126" s="8"/>
      <c r="P126" s="8"/>
      <c r="Q126" s="8"/>
    </row>
    <row r="127" spans="2:17" x14ac:dyDescent="0.3">
      <c r="B127" s="22"/>
      <c r="C127" s="8"/>
      <c r="D127" s="8"/>
      <c r="E127" s="8"/>
      <c r="F127" s="8"/>
      <c r="G127" s="10"/>
      <c r="H127" s="10"/>
      <c r="I127" s="10"/>
      <c r="L127" s="10"/>
      <c r="N127" s="8"/>
      <c r="O127" s="8"/>
      <c r="P127" s="8"/>
      <c r="Q127" s="8"/>
    </row>
    <row r="128" spans="2:17" x14ac:dyDescent="0.3">
      <c r="B128" s="22"/>
      <c r="C128" s="8"/>
      <c r="D128" s="8"/>
      <c r="E128" s="8"/>
      <c r="F128" s="8"/>
      <c r="G128" s="10"/>
      <c r="H128" s="10"/>
      <c r="I128" s="10"/>
      <c r="L128" s="10"/>
      <c r="N128" s="8"/>
      <c r="O128" s="8"/>
      <c r="P128" s="8"/>
      <c r="Q128" s="8"/>
    </row>
    <row r="129" spans="2:17" x14ac:dyDescent="0.3">
      <c r="B129" s="22"/>
      <c r="C129" s="8"/>
      <c r="D129" s="8"/>
      <c r="E129" s="8"/>
      <c r="F129" s="8"/>
      <c r="G129" s="10"/>
      <c r="H129" s="10"/>
      <c r="I129" s="10"/>
      <c r="L129" s="10"/>
      <c r="N129" s="8"/>
      <c r="O129" s="8"/>
      <c r="P129" s="8"/>
      <c r="Q129" s="8"/>
    </row>
    <row r="130" spans="2:17" x14ac:dyDescent="0.3">
      <c r="B130" s="22"/>
      <c r="C130" s="8"/>
      <c r="D130" s="8"/>
      <c r="E130" s="8"/>
      <c r="F130" s="8"/>
      <c r="G130" s="10"/>
      <c r="H130" s="10"/>
      <c r="I130" s="10"/>
      <c r="L130" s="10"/>
      <c r="N130" s="8"/>
      <c r="O130" s="8"/>
      <c r="P130" s="8"/>
      <c r="Q130" s="8"/>
    </row>
    <row r="131" spans="2:17" x14ac:dyDescent="0.3">
      <c r="B131" s="22"/>
      <c r="C131" s="8"/>
      <c r="D131" s="8"/>
      <c r="E131" s="8"/>
      <c r="F131" s="8"/>
      <c r="G131" s="10"/>
      <c r="H131" s="10"/>
      <c r="I131" s="10"/>
      <c r="L131" s="10"/>
      <c r="N131" s="8"/>
      <c r="O131" s="8"/>
      <c r="P131" s="8"/>
      <c r="Q131" s="8"/>
    </row>
    <row r="132" spans="2:17" x14ac:dyDescent="0.3">
      <c r="B132" s="22"/>
      <c r="C132" s="8"/>
      <c r="D132" s="8"/>
      <c r="E132" s="8"/>
      <c r="F132" s="8"/>
      <c r="G132" s="10"/>
      <c r="H132" s="10"/>
      <c r="I132" s="10"/>
      <c r="L132" s="10"/>
      <c r="N132" s="8"/>
      <c r="O132" s="8"/>
      <c r="P132" s="8"/>
      <c r="Q132" s="8"/>
    </row>
    <row r="133" spans="2:17" x14ac:dyDescent="0.3">
      <c r="B133" s="22"/>
      <c r="C133" s="8"/>
      <c r="D133" s="8"/>
      <c r="E133" s="8"/>
      <c r="F133" s="8"/>
      <c r="G133" s="10"/>
      <c r="H133" s="10"/>
      <c r="I133" s="10"/>
      <c r="L133" s="10"/>
      <c r="N133" s="8"/>
      <c r="O133" s="8"/>
      <c r="P133" s="8"/>
      <c r="Q133" s="8"/>
    </row>
    <row r="134" spans="2:17" x14ac:dyDescent="0.3">
      <c r="B134" s="22"/>
      <c r="C134" s="8"/>
      <c r="D134" s="8"/>
      <c r="E134" s="8"/>
      <c r="F134" s="8"/>
      <c r="G134" s="10"/>
      <c r="H134" s="10"/>
      <c r="I134" s="10"/>
      <c r="L134" s="10"/>
      <c r="N134" s="8"/>
      <c r="O134" s="8"/>
      <c r="P134" s="8"/>
      <c r="Q134" s="8"/>
    </row>
    <row r="135" spans="2:17" x14ac:dyDescent="0.3">
      <c r="B135" s="22"/>
      <c r="C135" s="8"/>
      <c r="D135" s="8"/>
      <c r="E135" s="8"/>
      <c r="F135" s="8"/>
      <c r="G135" s="10"/>
      <c r="H135" s="10"/>
      <c r="I135" s="10"/>
      <c r="L135" s="10"/>
      <c r="N135" s="8"/>
      <c r="O135" s="8"/>
      <c r="P135" s="8"/>
      <c r="Q135" s="8"/>
    </row>
    <row r="136" spans="2:17" x14ac:dyDescent="0.3">
      <c r="B136" s="22"/>
      <c r="C136" s="8"/>
      <c r="D136" s="8"/>
      <c r="E136" s="8"/>
      <c r="F136" s="8"/>
      <c r="G136" s="10"/>
      <c r="H136" s="10"/>
      <c r="I136" s="10"/>
      <c r="L136" s="10"/>
      <c r="N136" s="8"/>
      <c r="O136" s="8"/>
      <c r="P136" s="8"/>
      <c r="Q136" s="8"/>
    </row>
    <row r="137" spans="2:17" x14ac:dyDescent="0.3">
      <c r="B137" s="22"/>
      <c r="C137" s="8"/>
      <c r="D137" s="8"/>
      <c r="E137" s="8"/>
      <c r="F137" s="8"/>
      <c r="G137" s="10"/>
      <c r="H137" s="10"/>
      <c r="I137" s="10"/>
      <c r="L137" s="10"/>
      <c r="N137" s="8"/>
      <c r="O137" s="8"/>
      <c r="P137" s="8"/>
      <c r="Q137" s="8"/>
    </row>
    <row r="138" spans="2:17" x14ac:dyDescent="0.3">
      <c r="B138" s="22"/>
      <c r="C138" s="8"/>
      <c r="D138" s="8"/>
      <c r="E138" s="8"/>
      <c r="F138" s="8"/>
      <c r="G138" s="10"/>
      <c r="H138" s="10"/>
      <c r="I138" s="10"/>
      <c r="L138" s="10"/>
      <c r="N138" s="8"/>
      <c r="O138" s="8"/>
      <c r="P138" s="8"/>
      <c r="Q138" s="8"/>
    </row>
    <row r="139" spans="2:17" x14ac:dyDescent="0.3">
      <c r="B139" s="22"/>
      <c r="C139" s="8"/>
      <c r="D139" s="8"/>
      <c r="E139" s="8"/>
      <c r="F139" s="8"/>
      <c r="G139" s="10"/>
      <c r="H139" s="10"/>
      <c r="I139" s="10"/>
      <c r="L139" s="10"/>
      <c r="N139" s="8"/>
      <c r="O139" s="8"/>
      <c r="P139" s="8"/>
      <c r="Q139" s="8"/>
    </row>
    <row r="140" spans="2:17" x14ac:dyDescent="0.3">
      <c r="B140" s="22"/>
      <c r="C140" s="8"/>
      <c r="D140" s="8"/>
      <c r="E140" s="8"/>
      <c r="F140" s="8"/>
      <c r="G140" s="10"/>
      <c r="H140" s="10"/>
      <c r="I140" s="10"/>
      <c r="L140" s="10"/>
      <c r="N140" s="8"/>
      <c r="O140" s="8"/>
      <c r="P140" s="8"/>
      <c r="Q140" s="8"/>
    </row>
    <row r="141" spans="2:17" x14ac:dyDescent="0.3">
      <c r="B141" s="22"/>
      <c r="C141" s="8"/>
      <c r="D141" s="8"/>
      <c r="E141" s="8"/>
      <c r="F141" s="8"/>
      <c r="G141" s="10"/>
      <c r="H141" s="10"/>
      <c r="I141" s="10"/>
      <c r="L141" s="10"/>
      <c r="N141" s="8"/>
      <c r="O141" s="8"/>
      <c r="P141" s="8"/>
      <c r="Q141" s="8"/>
    </row>
    <row r="142" spans="2:17" x14ac:dyDescent="0.3">
      <c r="B142" s="22"/>
      <c r="C142" s="8"/>
      <c r="D142" s="8"/>
      <c r="E142" s="8"/>
      <c r="F142" s="8"/>
      <c r="G142" s="10"/>
      <c r="H142" s="10"/>
      <c r="I142" s="10"/>
      <c r="L142" s="10"/>
      <c r="N142" s="8"/>
      <c r="O142" s="8"/>
      <c r="P142" s="8"/>
      <c r="Q142" s="8"/>
    </row>
    <row r="143" spans="2:17" x14ac:dyDescent="0.3">
      <c r="B143" s="22"/>
      <c r="C143" s="8"/>
      <c r="D143" s="8"/>
      <c r="E143" s="8"/>
      <c r="F143" s="8"/>
      <c r="G143" s="10"/>
      <c r="H143" s="10"/>
      <c r="I143" s="10"/>
      <c r="L143" s="10"/>
      <c r="N143" s="8"/>
      <c r="O143" s="8"/>
      <c r="P143" s="8"/>
      <c r="Q143" s="8"/>
    </row>
    <row r="144" spans="2:17" x14ac:dyDescent="0.3">
      <c r="B144" s="22"/>
      <c r="C144" s="8"/>
      <c r="D144" s="8"/>
      <c r="E144" s="8"/>
      <c r="F144" s="8"/>
      <c r="G144" s="10"/>
      <c r="H144" s="10"/>
      <c r="I144" s="10"/>
      <c r="L144" s="10"/>
      <c r="N144" s="8"/>
      <c r="O144" s="8"/>
      <c r="P144" s="8"/>
      <c r="Q144" s="8"/>
    </row>
    <row r="145" spans="2:17" x14ac:dyDescent="0.3">
      <c r="B145" s="22"/>
      <c r="C145" s="8"/>
      <c r="D145" s="8"/>
      <c r="E145" s="8"/>
      <c r="F145" s="8"/>
      <c r="G145" s="10"/>
      <c r="H145" s="10"/>
      <c r="I145" s="10"/>
      <c r="L145" s="10"/>
      <c r="N145" s="8"/>
      <c r="O145" s="8"/>
      <c r="P145" s="8"/>
      <c r="Q145" s="8"/>
    </row>
    <row r="146" spans="2:17" x14ac:dyDescent="0.3">
      <c r="B146" s="22"/>
      <c r="C146" s="8"/>
      <c r="D146" s="8"/>
      <c r="E146" s="8"/>
      <c r="F146" s="8"/>
      <c r="G146" s="10"/>
      <c r="H146" s="10"/>
      <c r="I146" s="10"/>
      <c r="L146" s="10"/>
      <c r="N146" s="8"/>
      <c r="O146" s="8"/>
      <c r="P146" s="8"/>
      <c r="Q146" s="8"/>
    </row>
    <row r="147" spans="2:17" x14ac:dyDescent="0.3">
      <c r="B147" s="22"/>
      <c r="C147" s="8"/>
      <c r="D147" s="8"/>
      <c r="E147" s="8"/>
      <c r="F147" s="8"/>
      <c r="G147" s="10"/>
      <c r="H147" s="10"/>
      <c r="I147" s="10"/>
      <c r="L147" s="10"/>
      <c r="N147" s="8"/>
      <c r="O147" s="8"/>
      <c r="P147" s="8"/>
      <c r="Q147" s="8"/>
    </row>
    <row r="148" spans="2:17" x14ac:dyDescent="0.3">
      <c r="B148" s="22"/>
      <c r="C148" s="8"/>
      <c r="D148" s="8"/>
      <c r="E148" s="8"/>
      <c r="F148" s="8"/>
      <c r="G148" s="10"/>
      <c r="H148" s="10"/>
      <c r="I148" s="10"/>
      <c r="L148" s="10"/>
      <c r="N148" s="8"/>
      <c r="O148" s="8"/>
      <c r="P148" s="8"/>
      <c r="Q148" s="8"/>
    </row>
    <row r="149" spans="2:17" x14ac:dyDescent="0.3">
      <c r="B149" s="22"/>
      <c r="C149" s="8"/>
      <c r="D149" s="8"/>
      <c r="E149" s="8"/>
      <c r="F149" s="8"/>
      <c r="G149" s="10"/>
      <c r="H149" s="10"/>
      <c r="I149" s="10"/>
      <c r="L149" s="10"/>
      <c r="N149" s="8"/>
      <c r="O149" s="8"/>
      <c r="P149" s="8"/>
      <c r="Q149" s="8"/>
    </row>
    <row r="150" spans="2:17" x14ac:dyDescent="0.3">
      <c r="B150" s="22"/>
      <c r="C150" s="8"/>
      <c r="D150" s="8"/>
      <c r="E150" s="8"/>
      <c r="F150" s="8"/>
      <c r="G150" s="10"/>
      <c r="H150" s="10"/>
      <c r="I150" s="10"/>
      <c r="L150" s="10"/>
      <c r="N150" s="8"/>
      <c r="O150" s="8"/>
      <c r="P150" s="8"/>
      <c r="Q150" s="8"/>
    </row>
    <row r="151" spans="2:17" x14ac:dyDescent="0.3">
      <c r="B151" s="22"/>
      <c r="C151" s="8"/>
      <c r="D151" s="8"/>
      <c r="E151" s="8"/>
      <c r="F151" s="8"/>
      <c r="G151" s="10"/>
      <c r="H151" s="10"/>
      <c r="I151" s="10"/>
      <c r="L151" s="10"/>
      <c r="N151" s="8"/>
      <c r="O151" s="8"/>
      <c r="P151" s="8"/>
      <c r="Q151" s="8"/>
    </row>
    <row r="152" spans="2:17" x14ac:dyDescent="0.3">
      <c r="B152" s="22"/>
      <c r="C152" s="8"/>
      <c r="D152" s="8"/>
      <c r="E152" s="8"/>
      <c r="F152" s="8"/>
      <c r="G152" s="10"/>
      <c r="H152" s="10"/>
      <c r="I152" s="10"/>
      <c r="L152" s="10"/>
      <c r="N152" s="8"/>
      <c r="O152" s="8"/>
      <c r="P152" s="8"/>
      <c r="Q152" s="8"/>
    </row>
    <row r="153" spans="2:17" x14ac:dyDescent="0.3">
      <c r="B153" s="22"/>
      <c r="C153" s="8"/>
      <c r="D153" s="8"/>
      <c r="E153" s="8"/>
      <c r="F153" s="8"/>
      <c r="G153" s="10"/>
      <c r="H153" s="10"/>
      <c r="I153" s="10"/>
      <c r="L153" s="10"/>
      <c r="N153" s="8"/>
      <c r="O153" s="8"/>
      <c r="P153" s="8"/>
      <c r="Q153" s="8"/>
    </row>
    <row r="154" spans="2:17" x14ac:dyDescent="0.3">
      <c r="B154" s="22"/>
      <c r="C154" s="8"/>
      <c r="D154" s="8"/>
      <c r="E154" s="8"/>
      <c r="F154" s="8"/>
      <c r="G154" s="10"/>
      <c r="H154" s="10"/>
      <c r="I154" s="10"/>
      <c r="L154" s="10"/>
      <c r="N154" s="8"/>
      <c r="O154" s="8"/>
      <c r="P154" s="8"/>
      <c r="Q154" s="8"/>
    </row>
    <row r="155" spans="2:17" x14ac:dyDescent="0.3">
      <c r="B155" s="22"/>
      <c r="C155" s="8"/>
      <c r="D155" s="8"/>
      <c r="E155" s="8"/>
      <c r="F155" s="8"/>
      <c r="G155" s="10"/>
      <c r="H155" s="10"/>
      <c r="I155" s="10"/>
      <c r="L155" s="10"/>
      <c r="N155" s="8"/>
      <c r="O155" s="8"/>
      <c r="P155" s="8"/>
      <c r="Q155" s="8"/>
    </row>
    <row r="156" spans="2:17" x14ac:dyDescent="0.3">
      <c r="B156" s="22"/>
      <c r="C156" s="8"/>
      <c r="D156" s="8"/>
      <c r="E156" s="8"/>
      <c r="F156" s="8"/>
      <c r="G156" s="10"/>
      <c r="H156" s="10"/>
      <c r="I156" s="10"/>
      <c r="L156" s="10"/>
      <c r="N156" s="8"/>
      <c r="O156" s="8"/>
      <c r="P156" s="8"/>
      <c r="Q156" s="8"/>
    </row>
    <row r="157" spans="2:17" x14ac:dyDescent="0.3">
      <c r="B157" s="22"/>
      <c r="C157" s="8"/>
      <c r="D157" s="8"/>
      <c r="E157" s="8"/>
      <c r="F157" s="8"/>
      <c r="G157" s="10"/>
      <c r="H157" s="10"/>
      <c r="I157" s="10"/>
      <c r="L157" s="10"/>
      <c r="N157" s="8"/>
      <c r="O157" s="8"/>
      <c r="P157" s="8"/>
      <c r="Q157" s="8"/>
    </row>
    <row r="158" spans="2:17" x14ac:dyDescent="0.3">
      <c r="B158" s="22"/>
      <c r="C158" s="8"/>
      <c r="D158" s="8"/>
      <c r="E158" s="8"/>
      <c r="F158" s="8"/>
      <c r="G158" s="10"/>
      <c r="H158" s="10"/>
      <c r="I158" s="10"/>
      <c r="L158" s="10"/>
      <c r="N158" s="8"/>
      <c r="O158" s="8"/>
      <c r="P158" s="8"/>
      <c r="Q158" s="8"/>
    </row>
    <row r="159" spans="2:17" x14ac:dyDescent="0.3">
      <c r="B159" s="22"/>
      <c r="C159" s="8"/>
      <c r="D159" s="8"/>
      <c r="E159" s="8"/>
      <c r="F159" s="8"/>
      <c r="G159" s="10"/>
      <c r="H159" s="10"/>
      <c r="I159" s="10"/>
      <c r="L159" s="10"/>
      <c r="N159" s="8"/>
      <c r="O159" s="8"/>
      <c r="P159" s="8"/>
      <c r="Q159" s="8"/>
    </row>
    <row r="160" spans="2:17" x14ac:dyDescent="0.3">
      <c r="B160" s="22"/>
      <c r="C160" s="8"/>
      <c r="D160" s="8"/>
      <c r="E160" s="8"/>
      <c r="F160" s="8"/>
      <c r="G160" s="10"/>
      <c r="H160" s="10"/>
      <c r="I160" s="10"/>
      <c r="L160" s="10"/>
      <c r="N160" s="8"/>
      <c r="O160" s="8"/>
      <c r="P160" s="8"/>
      <c r="Q160" s="8"/>
    </row>
    <row r="161" spans="2:17" x14ac:dyDescent="0.3">
      <c r="B161" s="22"/>
      <c r="C161" s="8"/>
      <c r="D161" s="8"/>
      <c r="E161" s="8"/>
      <c r="F161" s="8"/>
      <c r="G161" s="10"/>
      <c r="H161" s="10"/>
      <c r="I161" s="10"/>
      <c r="L161" s="10"/>
      <c r="N161" s="8"/>
      <c r="O161" s="8"/>
      <c r="P161" s="8"/>
      <c r="Q161" s="8"/>
    </row>
    <row r="162" spans="2:17" x14ac:dyDescent="0.3">
      <c r="B162" s="22"/>
      <c r="C162" s="8"/>
      <c r="D162" s="8"/>
      <c r="E162" s="8"/>
      <c r="F162" s="8"/>
      <c r="G162" s="10"/>
      <c r="H162" s="10"/>
      <c r="I162" s="10"/>
      <c r="L162" s="10"/>
      <c r="N162" s="8"/>
      <c r="O162" s="8"/>
      <c r="P162" s="8"/>
      <c r="Q162" s="8"/>
    </row>
    <row r="163" spans="2:17" x14ac:dyDescent="0.3">
      <c r="B163" s="22"/>
      <c r="C163" s="8"/>
      <c r="D163" s="8"/>
      <c r="E163" s="8"/>
      <c r="F163" s="8"/>
      <c r="G163" s="10"/>
      <c r="H163" s="10"/>
      <c r="I163" s="10"/>
      <c r="L163" s="10"/>
      <c r="N163" s="8"/>
      <c r="O163" s="8"/>
      <c r="P163" s="8"/>
      <c r="Q163" s="8"/>
    </row>
    <row r="164" spans="2:17" x14ac:dyDescent="0.3">
      <c r="B164" s="22"/>
      <c r="C164" s="8"/>
      <c r="D164" s="8"/>
      <c r="E164" s="8"/>
      <c r="F164" s="8"/>
      <c r="G164" s="10"/>
      <c r="H164" s="10"/>
      <c r="I164" s="10"/>
      <c r="L164" s="10"/>
      <c r="N164" s="8"/>
      <c r="O164" s="8"/>
      <c r="P164" s="8"/>
      <c r="Q164" s="8"/>
    </row>
    <row r="165" spans="2:17" x14ac:dyDescent="0.3">
      <c r="B165" s="22"/>
      <c r="C165" s="8"/>
      <c r="D165" s="8"/>
      <c r="E165" s="8"/>
      <c r="F165" s="8"/>
      <c r="G165" s="10"/>
      <c r="H165" s="10"/>
      <c r="I165" s="10"/>
      <c r="L165" s="10"/>
      <c r="N165" s="8"/>
      <c r="O165" s="8"/>
      <c r="P165" s="8"/>
      <c r="Q165" s="8"/>
    </row>
    <row r="166" spans="2:17" x14ac:dyDescent="0.3">
      <c r="B166" s="22"/>
      <c r="C166" s="8"/>
      <c r="D166" s="8"/>
      <c r="E166" s="8"/>
      <c r="F166" s="8"/>
      <c r="G166" s="10"/>
      <c r="H166" s="10"/>
      <c r="I166" s="10"/>
      <c r="L166" s="10"/>
      <c r="N166" s="8"/>
      <c r="O166" s="8"/>
      <c r="P166" s="8"/>
      <c r="Q166" s="8"/>
    </row>
    <row r="167" spans="2:17" x14ac:dyDescent="0.3">
      <c r="B167" s="22"/>
      <c r="C167" s="8"/>
      <c r="D167" s="8"/>
      <c r="E167" s="8"/>
      <c r="F167" s="8"/>
      <c r="G167" s="10"/>
      <c r="H167" s="10"/>
      <c r="I167" s="10"/>
      <c r="L167" s="10"/>
      <c r="N167" s="8"/>
      <c r="O167" s="8"/>
      <c r="P167" s="8"/>
      <c r="Q167" s="8"/>
    </row>
    <row r="168" spans="2:17" x14ac:dyDescent="0.3">
      <c r="B168" s="22"/>
      <c r="C168" s="8"/>
      <c r="D168" s="8"/>
      <c r="E168" s="8"/>
      <c r="F168" s="8"/>
      <c r="G168" s="10"/>
      <c r="H168" s="10"/>
      <c r="I168" s="10"/>
      <c r="L168" s="10"/>
      <c r="N168" s="8"/>
      <c r="O168" s="8"/>
      <c r="P168" s="8"/>
      <c r="Q168" s="8"/>
    </row>
    <row r="169" spans="2:17" x14ac:dyDescent="0.3">
      <c r="B169" s="22"/>
      <c r="C169" s="8"/>
      <c r="D169" s="8"/>
      <c r="E169" s="8"/>
      <c r="F169" s="8"/>
      <c r="G169" s="10"/>
      <c r="H169" s="10"/>
      <c r="I169" s="10"/>
      <c r="L169" s="10"/>
      <c r="N169" s="8"/>
      <c r="O169" s="8"/>
      <c r="P169" s="8"/>
      <c r="Q169" s="8"/>
    </row>
    <row r="170" spans="2:17" x14ac:dyDescent="0.3">
      <c r="B170" s="22"/>
      <c r="C170" s="8"/>
      <c r="D170" s="8"/>
      <c r="E170" s="8"/>
      <c r="F170" s="8"/>
      <c r="G170" s="10"/>
      <c r="H170" s="10"/>
      <c r="I170" s="10"/>
      <c r="L170" s="10"/>
      <c r="N170" s="8"/>
      <c r="O170" s="8"/>
      <c r="P170" s="8"/>
      <c r="Q170" s="8"/>
    </row>
    <row r="171" spans="2:17" x14ac:dyDescent="0.3">
      <c r="B171" s="22"/>
      <c r="C171" s="8"/>
      <c r="D171" s="8"/>
      <c r="E171" s="8"/>
      <c r="F171" s="8"/>
      <c r="G171" s="10"/>
      <c r="H171" s="10"/>
      <c r="I171" s="10"/>
      <c r="L171" s="10"/>
      <c r="N171" s="8"/>
      <c r="O171" s="8"/>
      <c r="P171" s="8"/>
      <c r="Q171" s="8"/>
    </row>
    <row r="172" spans="2:17" x14ac:dyDescent="0.3">
      <c r="B172" s="22"/>
      <c r="C172" s="8"/>
      <c r="D172" s="8"/>
      <c r="E172" s="8"/>
      <c r="F172" s="8"/>
      <c r="G172" s="10"/>
      <c r="H172" s="10"/>
      <c r="I172" s="10"/>
      <c r="L172" s="10"/>
      <c r="N172" s="8"/>
      <c r="O172" s="8"/>
      <c r="P172" s="8"/>
      <c r="Q172" s="8"/>
    </row>
    <row r="173" spans="2:17" x14ac:dyDescent="0.3">
      <c r="B173" s="22"/>
      <c r="C173" s="8"/>
      <c r="D173" s="8"/>
      <c r="E173" s="8"/>
      <c r="F173" s="8"/>
      <c r="G173" s="10"/>
      <c r="H173" s="10"/>
      <c r="I173" s="10"/>
      <c r="L173" s="10"/>
      <c r="N173" s="8"/>
      <c r="O173" s="8"/>
      <c r="P173" s="8"/>
      <c r="Q173" s="8"/>
    </row>
    <row r="174" spans="2:17" x14ac:dyDescent="0.3">
      <c r="B174" s="22"/>
      <c r="C174" s="8"/>
      <c r="D174" s="8"/>
      <c r="E174" s="8"/>
      <c r="F174" s="8"/>
      <c r="G174" s="10"/>
      <c r="H174" s="10"/>
      <c r="I174" s="10"/>
      <c r="L174" s="10"/>
      <c r="N174" s="8"/>
      <c r="O174" s="8"/>
      <c r="P174" s="8"/>
      <c r="Q174" s="8"/>
    </row>
    <row r="175" spans="2:17" x14ac:dyDescent="0.3">
      <c r="B175" s="22"/>
      <c r="C175" s="8"/>
      <c r="D175" s="8"/>
      <c r="E175" s="8"/>
      <c r="F175" s="8"/>
      <c r="G175" s="10"/>
      <c r="H175" s="10"/>
      <c r="I175" s="10"/>
      <c r="L175" s="10"/>
      <c r="N175" s="8"/>
      <c r="O175" s="8"/>
      <c r="P175" s="8"/>
      <c r="Q175" s="8"/>
    </row>
    <row r="176" spans="2:17" x14ac:dyDescent="0.3">
      <c r="B176" s="22"/>
      <c r="C176" s="8"/>
      <c r="D176" s="8"/>
      <c r="E176" s="8"/>
      <c r="F176" s="8"/>
      <c r="G176" s="10"/>
      <c r="H176" s="10"/>
      <c r="I176" s="10"/>
      <c r="L176" s="10"/>
      <c r="N176" s="8"/>
      <c r="O176" s="8"/>
      <c r="P176" s="8"/>
      <c r="Q176" s="8"/>
    </row>
    <row r="177" spans="2:17" x14ac:dyDescent="0.3">
      <c r="B177" s="22"/>
      <c r="C177" s="8"/>
      <c r="D177" s="8"/>
      <c r="E177" s="8"/>
      <c r="F177" s="8"/>
      <c r="G177" s="10"/>
      <c r="H177" s="10"/>
      <c r="I177" s="10"/>
      <c r="L177" s="10"/>
      <c r="N177" s="8"/>
      <c r="O177" s="8"/>
      <c r="P177" s="8"/>
      <c r="Q177" s="8"/>
    </row>
    <row r="178" spans="2:17" x14ac:dyDescent="0.3">
      <c r="B178" s="22"/>
      <c r="C178" s="8"/>
      <c r="D178" s="8"/>
      <c r="E178" s="8"/>
      <c r="F178" s="8"/>
      <c r="G178" s="10"/>
      <c r="H178" s="10"/>
      <c r="I178" s="10"/>
      <c r="L178" s="10"/>
      <c r="N178" s="8"/>
      <c r="O178" s="8"/>
      <c r="P178" s="8"/>
      <c r="Q178" s="8"/>
    </row>
    <row r="179" spans="2:17" x14ac:dyDescent="0.3">
      <c r="B179" s="22"/>
      <c r="C179" s="8"/>
      <c r="D179" s="8"/>
      <c r="E179" s="8"/>
      <c r="F179" s="8"/>
      <c r="G179" s="10"/>
      <c r="H179" s="10"/>
      <c r="I179" s="10"/>
      <c r="L179" s="10"/>
      <c r="N179" s="8"/>
      <c r="O179" s="8"/>
      <c r="P179" s="8"/>
      <c r="Q179" s="8"/>
    </row>
    <row r="180" spans="2:17" x14ac:dyDescent="0.3">
      <c r="B180" s="22"/>
      <c r="C180" s="8"/>
      <c r="D180" s="8"/>
      <c r="E180" s="8"/>
      <c r="F180" s="8"/>
      <c r="G180" s="10"/>
      <c r="H180" s="10"/>
      <c r="I180" s="10"/>
      <c r="L180" s="10"/>
      <c r="N180" s="8"/>
      <c r="O180" s="8"/>
      <c r="P180" s="8"/>
      <c r="Q180" s="8"/>
    </row>
    <row r="181" spans="2:17" x14ac:dyDescent="0.3">
      <c r="B181" s="22"/>
      <c r="C181" s="8"/>
      <c r="D181" s="8"/>
      <c r="E181" s="8"/>
      <c r="F181" s="8"/>
      <c r="G181" s="10"/>
      <c r="H181" s="10"/>
      <c r="I181" s="10"/>
      <c r="L181" s="10"/>
      <c r="N181" s="8"/>
      <c r="O181" s="8"/>
      <c r="P181" s="8"/>
      <c r="Q181" s="8"/>
    </row>
    <row r="182" spans="2:17" x14ac:dyDescent="0.3">
      <c r="B182" s="22"/>
      <c r="C182" s="8"/>
      <c r="D182" s="8"/>
      <c r="E182" s="8"/>
      <c r="F182" s="8"/>
      <c r="G182" s="10"/>
      <c r="H182" s="10"/>
      <c r="I182" s="10"/>
      <c r="L182" s="10"/>
      <c r="N182" s="8"/>
      <c r="O182" s="8"/>
      <c r="P182" s="8"/>
      <c r="Q182" s="8"/>
    </row>
    <row r="183" spans="2:17" x14ac:dyDescent="0.3">
      <c r="B183" s="22"/>
      <c r="C183" s="8"/>
      <c r="D183" s="8"/>
      <c r="E183" s="8"/>
      <c r="F183" s="8"/>
      <c r="G183" s="10"/>
      <c r="H183" s="10"/>
      <c r="I183" s="10"/>
      <c r="L183" s="10"/>
      <c r="N183" s="8"/>
      <c r="O183" s="8"/>
      <c r="P183" s="8"/>
      <c r="Q183" s="8"/>
    </row>
    <row r="184" spans="2:17" x14ac:dyDescent="0.3">
      <c r="B184" s="22"/>
      <c r="C184" s="8"/>
      <c r="D184" s="8"/>
      <c r="E184" s="8"/>
      <c r="F184" s="8"/>
      <c r="G184" s="10"/>
      <c r="H184" s="10"/>
      <c r="I184" s="10"/>
      <c r="L184" s="10"/>
      <c r="N184" s="8"/>
      <c r="O184" s="8"/>
      <c r="P184" s="8"/>
      <c r="Q184" s="8"/>
    </row>
    <row r="185" spans="2:17" x14ac:dyDescent="0.3">
      <c r="B185" s="22"/>
      <c r="C185" s="8"/>
      <c r="D185" s="8"/>
      <c r="E185" s="8"/>
      <c r="F185" s="8"/>
      <c r="G185" s="10"/>
      <c r="H185" s="10"/>
      <c r="I185" s="10"/>
      <c r="L185" s="10"/>
      <c r="N185" s="8"/>
      <c r="O185" s="8"/>
      <c r="P185" s="8"/>
      <c r="Q185" s="8"/>
    </row>
    <row r="186" spans="2:17" x14ac:dyDescent="0.3">
      <c r="B186" s="22"/>
      <c r="C186" s="8"/>
      <c r="D186" s="8"/>
      <c r="E186" s="8"/>
      <c r="F186" s="8"/>
      <c r="G186" s="10"/>
      <c r="H186" s="10"/>
      <c r="I186" s="10"/>
      <c r="L186" s="10"/>
      <c r="N186" s="8"/>
      <c r="O186" s="8"/>
      <c r="P186" s="8"/>
      <c r="Q186" s="8"/>
    </row>
    <row r="187" spans="2:17" x14ac:dyDescent="0.3">
      <c r="B187" s="22"/>
      <c r="C187" s="8"/>
      <c r="D187" s="8"/>
      <c r="E187" s="8"/>
      <c r="F187" s="8"/>
      <c r="G187" s="10"/>
      <c r="H187" s="10"/>
      <c r="I187" s="10"/>
      <c r="L187" s="10"/>
      <c r="N187" s="8"/>
      <c r="O187" s="8"/>
      <c r="P187" s="8"/>
      <c r="Q187" s="8"/>
    </row>
    <row r="188" spans="2:17" x14ac:dyDescent="0.3">
      <c r="B188" s="22"/>
      <c r="C188" s="8"/>
      <c r="D188" s="8"/>
      <c r="E188" s="8"/>
      <c r="F188" s="8"/>
      <c r="G188" s="10"/>
      <c r="H188" s="10"/>
      <c r="I188" s="10"/>
      <c r="L188" s="10"/>
      <c r="N188" s="8"/>
      <c r="O188" s="8"/>
      <c r="P188" s="8"/>
      <c r="Q188" s="8"/>
    </row>
    <row r="189" spans="2:17" x14ac:dyDescent="0.3">
      <c r="B189" s="22"/>
      <c r="C189" s="8"/>
      <c r="D189" s="8"/>
      <c r="E189" s="8"/>
      <c r="F189" s="8"/>
      <c r="G189" s="10"/>
      <c r="H189" s="10"/>
      <c r="I189" s="10"/>
      <c r="L189" s="10"/>
      <c r="N189" s="8"/>
      <c r="O189" s="8"/>
      <c r="P189" s="8"/>
      <c r="Q189" s="8"/>
    </row>
    <row r="190" spans="2:17" x14ac:dyDescent="0.3">
      <c r="B190" s="22"/>
      <c r="C190" s="8"/>
      <c r="D190" s="8"/>
      <c r="E190" s="8"/>
      <c r="F190" s="8"/>
      <c r="G190" s="10"/>
      <c r="H190" s="10"/>
      <c r="I190" s="10"/>
      <c r="L190" s="10"/>
      <c r="N190" s="8"/>
      <c r="O190" s="8"/>
      <c r="P190" s="8"/>
      <c r="Q190" s="8"/>
    </row>
    <row r="191" spans="2:17" x14ac:dyDescent="0.3">
      <c r="B191" s="22"/>
      <c r="C191" s="8"/>
      <c r="D191" s="8"/>
      <c r="E191" s="8"/>
      <c r="F191" s="8"/>
      <c r="G191" s="10"/>
      <c r="H191" s="10"/>
      <c r="I191" s="10"/>
      <c r="L191" s="10"/>
      <c r="N191" s="8"/>
      <c r="O191" s="8"/>
      <c r="P191" s="8"/>
      <c r="Q191" s="8"/>
    </row>
    <row r="192" spans="2:17" x14ac:dyDescent="0.3">
      <c r="B192" s="22"/>
      <c r="C192" s="8"/>
      <c r="D192" s="8"/>
      <c r="E192" s="8"/>
      <c r="F192" s="8"/>
      <c r="G192" s="10"/>
      <c r="H192" s="10"/>
      <c r="I192" s="10"/>
      <c r="L192" s="10"/>
      <c r="N192" s="8"/>
      <c r="O192" s="8"/>
      <c r="P192" s="8"/>
      <c r="Q192" s="8"/>
    </row>
    <row r="193" spans="2:17" x14ac:dyDescent="0.3">
      <c r="B193" s="22"/>
      <c r="C193" s="8"/>
      <c r="D193" s="8"/>
      <c r="E193" s="8"/>
      <c r="F193" s="8"/>
      <c r="G193" s="10"/>
      <c r="H193" s="10"/>
      <c r="I193" s="10"/>
      <c r="L193" s="10"/>
      <c r="N193" s="8"/>
      <c r="O193" s="8"/>
      <c r="P193" s="8"/>
      <c r="Q193" s="8"/>
    </row>
    <row r="194" spans="2:17" x14ac:dyDescent="0.3">
      <c r="B194" s="22"/>
      <c r="C194" s="8"/>
      <c r="D194" s="8"/>
      <c r="E194" s="8"/>
      <c r="F194" s="8"/>
      <c r="G194" s="10"/>
      <c r="H194" s="10"/>
      <c r="I194" s="10"/>
      <c r="L194" s="10"/>
      <c r="N194" s="8"/>
      <c r="O194" s="8"/>
      <c r="P194" s="8"/>
      <c r="Q194" s="8"/>
    </row>
    <row r="195" spans="2:17" x14ac:dyDescent="0.3">
      <c r="B195" s="22"/>
      <c r="C195" s="8"/>
      <c r="D195" s="8"/>
      <c r="E195" s="8"/>
      <c r="F195" s="8"/>
      <c r="G195" s="10"/>
      <c r="H195" s="10"/>
      <c r="I195" s="10"/>
      <c r="L195" s="10"/>
      <c r="N195" s="8"/>
      <c r="O195" s="8"/>
      <c r="P195" s="8"/>
      <c r="Q195" s="8"/>
    </row>
    <row r="196" spans="2:17" x14ac:dyDescent="0.3">
      <c r="B196" s="22"/>
      <c r="C196" s="8"/>
      <c r="D196" s="8"/>
      <c r="E196" s="8"/>
      <c r="F196" s="8"/>
      <c r="G196" s="10"/>
      <c r="H196" s="10"/>
      <c r="I196" s="10"/>
      <c r="L196" s="10"/>
      <c r="N196" s="8"/>
      <c r="O196" s="8"/>
      <c r="P196" s="8"/>
      <c r="Q196" s="8"/>
    </row>
    <row r="197" spans="2:17" x14ac:dyDescent="0.3">
      <c r="B197" s="22"/>
      <c r="C197" s="8"/>
      <c r="D197" s="8"/>
      <c r="E197" s="8"/>
      <c r="F197" s="8"/>
      <c r="G197" s="10"/>
      <c r="H197" s="10"/>
      <c r="I197" s="10"/>
      <c r="L197" s="10"/>
      <c r="N197" s="8"/>
      <c r="O197" s="8"/>
      <c r="P197" s="8"/>
      <c r="Q197" s="8"/>
    </row>
    <row r="198" spans="2:17" x14ac:dyDescent="0.3">
      <c r="B198" s="22"/>
      <c r="C198" s="8"/>
      <c r="D198" s="8"/>
      <c r="E198" s="8"/>
      <c r="F198" s="8"/>
      <c r="G198" s="10"/>
      <c r="H198" s="10"/>
      <c r="I198" s="10"/>
      <c r="L198" s="10"/>
      <c r="N198" s="8"/>
      <c r="O198" s="8"/>
      <c r="P198" s="8"/>
      <c r="Q198" s="8"/>
    </row>
    <row r="199" spans="2:17" x14ac:dyDescent="0.3">
      <c r="B199" s="22"/>
      <c r="C199" s="8"/>
      <c r="D199" s="8"/>
      <c r="E199" s="8"/>
      <c r="F199" s="8"/>
      <c r="G199" s="10"/>
      <c r="H199" s="10"/>
      <c r="I199" s="10"/>
      <c r="L199" s="10"/>
      <c r="N199" s="8"/>
      <c r="O199" s="8"/>
      <c r="P199" s="8"/>
      <c r="Q199" s="8"/>
    </row>
    <row r="200" spans="2:17" x14ac:dyDescent="0.3">
      <c r="B200" s="22"/>
      <c r="C200" s="8"/>
      <c r="D200" s="8"/>
      <c r="E200" s="8"/>
      <c r="F200" s="8"/>
      <c r="G200" s="10"/>
      <c r="H200" s="10"/>
      <c r="I200" s="10"/>
      <c r="L200" s="10"/>
      <c r="N200" s="8"/>
      <c r="O200" s="8"/>
      <c r="P200" s="8"/>
      <c r="Q200" s="8"/>
    </row>
    <row r="201" spans="2:17" x14ac:dyDescent="0.3">
      <c r="B201" s="22"/>
      <c r="C201" s="8"/>
      <c r="D201" s="8"/>
      <c r="E201" s="8"/>
      <c r="F201" s="8"/>
      <c r="G201" s="10"/>
      <c r="H201" s="10"/>
      <c r="I201" s="10"/>
      <c r="L201" s="10"/>
      <c r="N201" s="8"/>
      <c r="O201" s="8"/>
      <c r="P201" s="8"/>
      <c r="Q201" s="8"/>
    </row>
    <row r="202" spans="2:17" x14ac:dyDescent="0.3">
      <c r="B202" s="22"/>
      <c r="C202" s="8"/>
      <c r="D202" s="8"/>
      <c r="E202" s="8"/>
      <c r="F202" s="8"/>
      <c r="G202" s="10"/>
      <c r="H202" s="10"/>
      <c r="I202" s="10"/>
      <c r="L202" s="10"/>
      <c r="N202" s="8"/>
      <c r="O202" s="8"/>
      <c r="P202" s="8"/>
      <c r="Q202" s="8"/>
    </row>
    <row r="203" spans="2:17" x14ac:dyDescent="0.3">
      <c r="B203" s="22"/>
      <c r="C203" s="8"/>
      <c r="D203" s="8"/>
      <c r="E203" s="8"/>
      <c r="F203" s="8"/>
      <c r="G203" s="10"/>
      <c r="H203" s="10"/>
      <c r="I203" s="10"/>
      <c r="L203" s="10"/>
      <c r="N203" s="8"/>
      <c r="O203" s="8"/>
      <c r="P203" s="8"/>
      <c r="Q203" s="8"/>
    </row>
    <row r="204" spans="2:17" x14ac:dyDescent="0.3">
      <c r="B204" s="22"/>
      <c r="C204" s="8"/>
      <c r="D204" s="8"/>
      <c r="E204" s="8"/>
      <c r="F204" s="8"/>
      <c r="G204" s="10"/>
      <c r="H204" s="10"/>
      <c r="I204" s="10"/>
      <c r="L204" s="10"/>
      <c r="N204" s="8"/>
      <c r="O204" s="8"/>
      <c r="P204" s="8"/>
      <c r="Q204" s="8"/>
    </row>
    <row r="205" spans="2:17" x14ac:dyDescent="0.3">
      <c r="B205" s="22"/>
      <c r="C205" s="8"/>
      <c r="D205" s="8"/>
      <c r="E205" s="8"/>
      <c r="F205" s="8"/>
      <c r="G205" s="10"/>
      <c r="H205" s="10"/>
      <c r="I205" s="10"/>
      <c r="L205" s="10"/>
      <c r="N205" s="8"/>
      <c r="O205" s="8"/>
      <c r="P205" s="8"/>
      <c r="Q205" s="8"/>
    </row>
    <row r="206" spans="2:17" x14ac:dyDescent="0.3">
      <c r="B206" s="22"/>
      <c r="C206" s="8"/>
      <c r="D206" s="8"/>
      <c r="E206" s="8"/>
      <c r="F206" s="8"/>
      <c r="G206" s="10"/>
      <c r="H206" s="10"/>
      <c r="I206" s="10"/>
      <c r="L206" s="10"/>
      <c r="N206" s="8"/>
      <c r="O206" s="8"/>
      <c r="P206" s="8"/>
      <c r="Q206" s="8"/>
    </row>
    <row r="207" spans="2:17" x14ac:dyDescent="0.3">
      <c r="B207" s="22"/>
      <c r="C207" s="8"/>
      <c r="D207" s="8"/>
      <c r="E207" s="8"/>
      <c r="F207" s="8"/>
      <c r="G207" s="10"/>
      <c r="H207" s="10"/>
      <c r="I207" s="10"/>
      <c r="L207" s="10"/>
      <c r="N207" s="8"/>
      <c r="O207" s="8"/>
      <c r="P207" s="8"/>
      <c r="Q207" s="8"/>
    </row>
    <row r="208" spans="2:17" x14ac:dyDescent="0.3">
      <c r="B208" s="22"/>
      <c r="C208" s="8"/>
      <c r="D208" s="8"/>
      <c r="E208" s="8"/>
      <c r="F208" s="8"/>
      <c r="G208" s="10"/>
      <c r="H208" s="10"/>
      <c r="I208" s="10"/>
      <c r="L208" s="10"/>
      <c r="N208" s="8"/>
      <c r="O208" s="8"/>
      <c r="P208" s="8"/>
      <c r="Q208" s="8"/>
    </row>
  </sheetData>
  <mergeCells count="11">
    <mergeCell ref="T1:T3"/>
    <mergeCell ref="U1:U3"/>
    <mergeCell ref="V1:V3"/>
    <mergeCell ref="A1:A3"/>
    <mergeCell ref="B1:B3"/>
    <mergeCell ref="C1:C2"/>
    <mergeCell ref="D1:D2"/>
    <mergeCell ref="R1:R3"/>
    <mergeCell ref="S1:S3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15C5-4869-460F-81CE-7C8EDF953A52}">
  <dimension ref="A1:V105"/>
  <sheetViews>
    <sheetView workbookViewId="0">
      <selection activeCell="F4" sqref="F4"/>
    </sheetView>
  </sheetViews>
  <sheetFormatPr defaultRowHeight="14.4" x14ac:dyDescent="0.3"/>
  <cols>
    <col min="3" max="3" width="15.88671875" customWidth="1"/>
    <col min="4" max="4" width="12.109375" customWidth="1"/>
    <col min="5" max="5" width="12.5546875" customWidth="1"/>
    <col min="6" max="6" width="16.21875" customWidth="1"/>
    <col min="7" max="7" width="13.5546875" customWidth="1"/>
    <col min="8" max="8" width="12.6640625" customWidth="1"/>
    <col min="10" max="10" width="17.109375" customWidth="1"/>
    <col min="11" max="11" width="12.44140625" customWidth="1"/>
    <col min="12" max="12" width="10.44140625" customWidth="1"/>
    <col min="13" max="13" width="14.33203125" customWidth="1"/>
    <col min="14" max="14" width="13.5546875" customWidth="1"/>
    <col min="15" max="15" width="11.6640625" customWidth="1"/>
    <col min="16" max="16" width="11" customWidth="1"/>
    <col min="17" max="17" width="12.44140625" customWidth="1"/>
    <col min="18" max="18" width="11.44140625" customWidth="1"/>
    <col min="19" max="19" width="11.88671875" customWidth="1"/>
    <col min="20" max="20" width="10.6640625" customWidth="1"/>
    <col min="21" max="21" width="10.21875" customWidth="1"/>
    <col min="22" max="22" width="11.6640625" customWidth="1"/>
  </cols>
  <sheetData>
    <row r="1" spans="1:22" ht="56.4" customHeight="1" thickBot="1" x14ac:dyDescent="0.35">
      <c r="A1" s="236" t="s">
        <v>0</v>
      </c>
      <c r="B1" s="239" t="s">
        <v>22</v>
      </c>
      <c r="C1" s="246" t="s">
        <v>23</v>
      </c>
      <c r="D1" s="246" t="s">
        <v>24</v>
      </c>
      <c r="E1" s="246" t="s">
        <v>42</v>
      </c>
      <c r="F1" s="246" t="s">
        <v>43</v>
      </c>
      <c r="G1" s="154" t="s">
        <v>31</v>
      </c>
      <c r="H1" s="154" t="s">
        <v>30</v>
      </c>
      <c r="I1" s="154" t="s">
        <v>25</v>
      </c>
      <c r="J1" s="154" t="s">
        <v>26</v>
      </c>
      <c r="K1" s="154" t="s">
        <v>27</v>
      </c>
      <c r="L1" s="154" t="s">
        <v>28</v>
      </c>
      <c r="M1" s="170" t="s">
        <v>29</v>
      </c>
      <c r="N1" s="155" t="s">
        <v>34</v>
      </c>
      <c r="O1" s="155" t="s">
        <v>35</v>
      </c>
      <c r="P1" s="155" t="s">
        <v>44</v>
      </c>
      <c r="Q1" s="171" t="s">
        <v>41</v>
      </c>
      <c r="R1" s="236" t="s">
        <v>37</v>
      </c>
      <c r="S1" s="236" t="s">
        <v>36</v>
      </c>
      <c r="T1" s="236" t="s">
        <v>33</v>
      </c>
      <c r="U1" s="236" t="s">
        <v>38</v>
      </c>
      <c r="V1" s="236" t="s">
        <v>39</v>
      </c>
    </row>
    <row r="2" spans="1:22" ht="43.8" thickBot="1" x14ac:dyDescent="0.35">
      <c r="A2" s="237"/>
      <c r="B2" s="240"/>
      <c r="C2" s="254"/>
      <c r="D2" s="254"/>
      <c r="E2" s="254"/>
      <c r="F2" s="254"/>
      <c r="G2" s="161" t="s">
        <v>32</v>
      </c>
      <c r="H2" s="161" t="s">
        <v>32</v>
      </c>
      <c r="I2" s="161" t="s">
        <v>32</v>
      </c>
      <c r="J2" s="161" t="s">
        <v>32</v>
      </c>
      <c r="K2" s="161" t="s">
        <v>32</v>
      </c>
      <c r="L2" s="161" t="s">
        <v>32</v>
      </c>
      <c r="M2" s="164" t="s">
        <v>32</v>
      </c>
      <c r="N2" s="161" t="s">
        <v>17</v>
      </c>
      <c r="O2" s="161" t="s">
        <v>17</v>
      </c>
      <c r="P2" s="161" t="s">
        <v>17</v>
      </c>
      <c r="Q2" s="164" t="s">
        <v>17</v>
      </c>
      <c r="R2" s="237"/>
      <c r="S2" s="237"/>
      <c r="T2" s="237"/>
      <c r="U2" s="237"/>
      <c r="V2" s="237"/>
    </row>
    <row r="3" spans="1:22" ht="15" thickBot="1" x14ac:dyDescent="0.35">
      <c r="A3" s="238"/>
      <c r="B3" s="255"/>
      <c r="C3" s="160">
        <v>70</v>
      </c>
      <c r="D3" s="160">
        <v>180</v>
      </c>
      <c r="E3" s="160">
        <v>28</v>
      </c>
      <c r="F3" s="169">
        <v>55</v>
      </c>
      <c r="G3" s="160">
        <v>41.88</v>
      </c>
      <c r="H3" s="162">
        <v>37.5</v>
      </c>
      <c r="I3" s="162">
        <v>35</v>
      </c>
      <c r="J3" s="162">
        <v>33.75</v>
      </c>
      <c r="K3" s="162">
        <v>33.75</v>
      </c>
      <c r="L3" s="162">
        <v>32.75</v>
      </c>
      <c r="M3" s="165">
        <v>53.75</v>
      </c>
      <c r="N3" s="163">
        <v>0.1</v>
      </c>
      <c r="O3" s="163">
        <v>0.35</v>
      </c>
      <c r="P3" s="163">
        <v>0.1</v>
      </c>
      <c r="Q3" s="168">
        <v>0.1</v>
      </c>
      <c r="R3" s="238"/>
      <c r="S3" s="238"/>
      <c r="T3" s="238"/>
      <c r="U3" s="238"/>
      <c r="V3" s="238"/>
    </row>
    <row r="4" spans="1:22" ht="43.2" x14ac:dyDescent="0.3">
      <c r="A4" s="147" cm="1">
        <f t="array" ref="A4:A53">_xlfn.SEQUENCE(50)</f>
        <v>1</v>
      </c>
      <c r="B4" s="148">
        <v>1</v>
      </c>
      <c r="C4" s="46">
        <f>B4*$C$3</f>
        <v>70</v>
      </c>
      <c r="D4" s="46">
        <f t="shared" ref="D4:D35" si="0">B4*$D$3</f>
        <v>180</v>
      </c>
      <c r="E4" s="46">
        <f>$B$6*$E$3</f>
        <v>84</v>
      </c>
      <c r="F4" s="46">
        <f t="shared" ref="F4:F35" si="1">B4*$F$3</f>
        <v>55</v>
      </c>
      <c r="G4" s="46">
        <f>36.88+$G$3</f>
        <v>78.760000000000005</v>
      </c>
      <c r="H4" s="46">
        <f>41.38+$H$3</f>
        <v>78.88</v>
      </c>
      <c r="I4" s="46">
        <f>38.75+$I$3</f>
        <v>73.75</v>
      </c>
      <c r="J4" s="46">
        <f>37.5+$J$3</f>
        <v>71.25</v>
      </c>
      <c r="K4" s="46">
        <f>38.75+$K$3</f>
        <v>72.5</v>
      </c>
      <c r="L4" s="46">
        <f>36.69+$L$3</f>
        <v>69.44</v>
      </c>
      <c r="M4" s="46">
        <f>53.75+$M$3</f>
        <v>107.5</v>
      </c>
      <c r="N4" s="46">
        <f>C4 + $N$3*C4</f>
        <v>77</v>
      </c>
      <c r="O4" s="46">
        <f t="shared" ref="O4:O35" si="2">D4 + $O$3*D4</f>
        <v>243</v>
      </c>
      <c r="P4" s="46">
        <f t="shared" ref="P4:P35" si="3">E4 + $P$3*E4</f>
        <v>92.4</v>
      </c>
      <c r="Q4" s="46">
        <f>F4 + $Q$3*F4</f>
        <v>60.5</v>
      </c>
      <c r="R4" s="149">
        <f>MAX(N4:Q4)</f>
        <v>243</v>
      </c>
      <c r="S4" s="150">
        <f>MIN(N4:Q4)</f>
        <v>60.5</v>
      </c>
      <c r="T4" s="151">
        <f>R4 - S4</f>
        <v>182.5</v>
      </c>
      <c r="U4" s="152" t="str">
        <f>INDEX($C$1:$M$1, MATCH(MIN(C6:M6), C6:M6, 0))</f>
        <v>DTDC PER KG</v>
      </c>
      <c r="V4" s="153" t="str">
        <f>INDEX($N$1:$Q$1, MATCH(MAX(N4:Q4), N4:Q4,0))</f>
        <v>ANJANI COURIER SERVICE</v>
      </c>
    </row>
    <row r="5" spans="1:22" x14ac:dyDescent="0.3">
      <c r="A5" s="142">
        <v>2</v>
      </c>
      <c r="B5" s="16">
        <f>B4 + 1</f>
        <v>2</v>
      </c>
      <c r="C5" s="13">
        <f>B5*$C$3</f>
        <v>140</v>
      </c>
      <c r="D5" s="13">
        <f t="shared" si="0"/>
        <v>360</v>
      </c>
      <c r="E5" s="13">
        <f>$B$6*$E$3</f>
        <v>84</v>
      </c>
      <c r="F5" s="13">
        <f t="shared" si="1"/>
        <v>110</v>
      </c>
      <c r="G5" s="13">
        <f>SUM(G4, $G$3*2)</f>
        <v>162.52000000000001</v>
      </c>
      <c r="H5" s="13">
        <f>SUM(H4, $H$3*2)</f>
        <v>153.88</v>
      </c>
      <c r="I5" s="13">
        <f>SUM(I4, $I$3*2)</f>
        <v>143.75</v>
      </c>
      <c r="J5" s="13">
        <f>SUM(J4, $J$3*2)</f>
        <v>138.75</v>
      </c>
      <c r="K5" s="13">
        <f>SUM(K4, $K$3*2)</f>
        <v>140</v>
      </c>
      <c r="L5" s="13">
        <f>SUM(L4, $L$3*2)</f>
        <v>134.94</v>
      </c>
      <c r="M5" s="13">
        <f>SUM(M4, $M$3*2)</f>
        <v>215</v>
      </c>
      <c r="N5" s="13">
        <f t="shared" ref="N5:N53" si="4">C5 + $N$3*C5</f>
        <v>154</v>
      </c>
      <c r="O5" s="13">
        <f t="shared" si="2"/>
        <v>486</v>
      </c>
      <c r="P5" s="13">
        <f t="shared" si="3"/>
        <v>92.4</v>
      </c>
      <c r="Q5" s="13">
        <f t="shared" ref="Q5:Q35" si="5">F5 + $Q$3*F5</f>
        <v>121</v>
      </c>
      <c r="R5" s="13">
        <f t="shared" ref="R5:R36" si="6">MAX(N5, O5, G5:Q5)</f>
        <v>486</v>
      </c>
      <c r="S5" s="13">
        <f t="shared" ref="S5:S36" si="7">MIN(N5, O5, G5:Q5)</f>
        <v>92.4</v>
      </c>
      <c r="T5" s="11">
        <f t="shared" ref="T5:T53" si="8">R5 - S5</f>
        <v>393.6</v>
      </c>
      <c r="U5" s="2"/>
      <c r="V5" s="3"/>
    </row>
    <row r="6" spans="1:22" x14ac:dyDescent="0.3">
      <c r="A6" s="142">
        <v>3</v>
      </c>
      <c r="B6" s="16">
        <f t="shared" ref="B6:B53" si="9">B5 + 1</f>
        <v>3</v>
      </c>
      <c r="C6" s="13">
        <f>B6*$C$3</f>
        <v>210</v>
      </c>
      <c r="D6" s="12">
        <f t="shared" si="0"/>
        <v>540</v>
      </c>
      <c r="E6" s="13">
        <f>B6*$E$3</f>
        <v>84</v>
      </c>
      <c r="F6" s="13">
        <f t="shared" si="1"/>
        <v>165</v>
      </c>
      <c r="G6" s="13">
        <f t="shared" ref="G6:G53" si="10">SUM(G5, $G$3*2)</f>
        <v>246.28000000000003</v>
      </c>
      <c r="H6" s="13">
        <f t="shared" ref="H6:H53" si="11">SUM(H5, $H$3*2)</f>
        <v>228.88</v>
      </c>
      <c r="I6" s="13">
        <f t="shared" ref="I6:I53" si="12">SUM(I5, $I$3*2)</f>
        <v>213.75</v>
      </c>
      <c r="J6" s="13">
        <f t="shared" ref="J6:J53" si="13">SUM(J5, $J$3*2)</f>
        <v>206.25</v>
      </c>
      <c r="K6" s="13">
        <f t="shared" ref="K6:K53" si="14">SUM(K5, $K$3*2)</f>
        <v>207.5</v>
      </c>
      <c r="L6" s="13">
        <f t="shared" ref="L6:L53" si="15">SUM(L5, $L$3*2)</f>
        <v>200.44</v>
      </c>
      <c r="M6" s="13">
        <f t="shared" ref="M6:M53" si="16">SUM(M5, $M$3*2)</f>
        <v>322.5</v>
      </c>
      <c r="N6" s="13">
        <f t="shared" si="4"/>
        <v>231</v>
      </c>
      <c r="O6" s="12">
        <f t="shared" si="2"/>
        <v>729</v>
      </c>
      <c r="P6" s="13">
        <f t="shared" si="3"/>
        <v>92.4</v>
      </c>
      <c r="Q6" s="13">
        <f t="shared" si="5"/>
        <v>181.5</v>
      </c>
      <c r="R6" s="13">
        <f t="shared" si="6"/>
        <v>729</v>
      </c>
      <c r="S6" s="13">
        <f t="shared" si="7"/>
        <v>92.4</v>
      </c>
      <c r="T6" s="11">
        <f t="shared" si="8"/>
        <v>636.6</v>
      </c>
      <c r="U6" s="2"/>
      <c r="V6" s="3"/>
    </row>
    <row r="7" spans="1:22" x14ac:dyDescent="0.3">
      <c r="A7" s="142">
        <v>4</v>
      </c>
      <c r="B7" s="16">
        <f t="shared" si="9"/>
        <v>4</v>
      </c>
      <c r="C7" s="13">
        <f t="shared" ref="C7:C53" si="17">B7*$C$3</f>
        <v>280</v>
      </c>
      <c r="D7" s="12">
        <f t="shared" si="0"/>
        <v>720</v>
      </c>
      <c r="E7" s="13">
        <f t="shared" ref="E7:E35" si="18">B7*$E$3</f>
        <v>112</v>
      </c>
      <c r="F7" s="13">
        <f t="shared" si="1"/>
        <v>220</v>
      </c>
      <c r="G7" s="13">
        <f t="shared" si="10"/>
        <v>330.04</v>
      </c>
      <c r="H7" s="13">
        <f t="shared" si="11"/>
        <v>303.88</v>
      </c>
      <c r="I7" s="13">
        <f t="shared" si="12"/>
        <v>283.75</v>
      </c>
      <c r="J7" s="13">
        <f t="shared" si="13"/>
        <v>273.75</v>
      </c>
      <c r="K7" s="13">
        <f t="shared" si="14"/>
        <v>275</v>
      </c>
      <c r="L7" s="13">
        <f t="shared" si="15"/>
        <v>265.94</v>
      </c>
      <c r="M7" s="13">
        <f t="shared" si="16"/>
        <v>430</v>
      </c>
      <c r="N7" s="13">
        <f t="shared" si="4"/>
        <v>308</v>
      </c>
      <c r="O7" s="12">
        <f t="shared" si="2"/>
        <v>972</v>
      </c>
      <c r="P7" s="13">
        <f t="shared" si="3"/>
        <v>123.2</v>
      </c>
      <c r="Q7" s="13">
        <f t="shared" si="5"/>
        <v>242</v>
      </c>
      <c r="R7" s="13">
        <f t="shared" si="6"/>
        <v>972</v>
      </c>
      <c r="S7" s="13">
        <f t="shared" si="7"/>
        <v>123.2</v>
      </c>
      <c r="T7" s="11">
        <f t="shared" si="8"/>
        <v>848.8</v>
      </c>
      <c r="U7" s="2"/>
      <c r="V7" s="3"/>
    </row>
    <row r="8" spans="1:22" x14ac:dyDescent="0.3">
      <c r="A8" s="142">
        <v>5</v>
      </c>
      <c r="B8" s="16">
        <f t="shared" si="9"/>
        <v>5</v>
      </c>
      <c r="C8" s="13">
        <f t="shared" si="17"/>
        <v>350</v>
      </c>
      <c r="D8" s="12">
        <f t="shared" si="0"/>
        <v>900</v>
      </c>
      <c r="E8" s="13">
        <f t="shared" si="18"/>
        <v>140</v>
      </c>
      <c r="F8" s="13">
        <f t="shared" si="1"/>
        <v>275</v>
      </c>
      <c r="G8" s="13">
        <f t="shared" si="10"/>
        <v>413.8</v>
      </c>
      <c r="H8" s="13">
        <f t="shared" si="11"/>
        <v>378.88</v>
      </c>
      <c r="I8" s="13">
        <f t="shared" si="12"/>
        <v>353.75</v>
      </c>
      <c r="J8" s="13">
        <f t="shared" si="13"/>
        <v>341.25</v>
      </c>
      <c r="K8" s="13">
        <f t="shared" si="14"/>
        <v>342.5</v>
      </c>
      <c r="L8" s="13">
        <f t="shared" si="15"/>
        <v>331.44</v>
      </c>
      <c r="M8" s="13">
        <f t="shared" si="16"/>
        <v>537.5</v>
      </c>
      <c r="N8" s="13">
        <f t="shared" si="4"/>
        <v>385</v>
      </c>
      <c r="O8" s="12">
        <f t="shared" si="2"/>
        <v>1215</v>
      </c>
      <c r="P8" s="13">
        <f t="shared" si="3"/>
        <v>154</v>
      </c>
      <c r="Q8" s="13">
        <f t="shared" si="5"/>
        <v>302.5</v>
      </c>
      <c r="R8" s="13">
        <f t="shared" si="6"/>
        <v>1215</v>
      </c>
      <c r="S8" s="13">
        <f t="shared" si="7"/>
        <v>154</v>
      </c>
      <c r="T8" s="11">
        <f t="shared" si="8"/>
        <v>1061</v>
      </c>
      <c r="U8" s="2"/>
      <c r="V8" s="3"/>
    </row>
    <row r="9" spans="1:22" x14ac:dyDescent="0.3">
      <c r="A9" s="142">
        <v>6</v>
      </c>
      <c r="B9" s="16">
        <f t="shared" si="9"/>
        <v>6</v>
      </c>
      <c r="C9" s="13">
        <f t="shared" si="17"/>
        <v>420</v>
      </c>
      <c r="D9" s="12">
        <f t="shared" si="0"/>
        <v>1080</v>
      </c>
      <c r="E9" s="13">
        <f t="shared" si="18"/>
        <v>168</v>
      </c>
      <c r="F9" s="13">
        <f t="shared" si="1"/>
        <v>330</v>
      </c>
      <c r="G9" s="13">
        <f t="shared" si="10"/>
        <v>497.56</v>
      </c>
      <c r="H9" s="13">
        <f t="shared" si="11"/>
        <v>453.88</v>
      </c>
      <c r="I9" s="13">
        <f t="shared" si="12"/>
        <v>423.75</v>
      </c>
      <c r="J9" s="13">
        <f t="shared" si="13"/>
        <v>408.75</v>
      </c>
      <c r="K9" s="13">
        <f t="shared" si="14"/>
        <v>410</v>
      </c>
      <c r="L9" s="13">
        <f t="shared" si="15"/>
        <v>396.94</v>
      </c>
      <c r="M9" s="13">
        <f t="shared" si="16"/>
        <v>645</v>
      </c>
      <c r="N9" s="13">
        <f t="shared" si="4"/>
        <v>462</v>
      </c>
      <c r="O9" s="12">
        <f t="shared" si="2"/>
        <v>1458</v>
      </c>
      <c r="P9" s="13">
        <f t="shared" si="3"/>
        <v>184.8</v>
      </c>
      <c r="Q9" s="13">
        <f t="shared" si="5"/>
        <v>363</v>
      </c>
      <c r="R9" s="13">
        <f t="shared" si="6"/>
        <v>1458</v>
      </c>
      <c r="S9" s="13">
        <f t="shared" si="7"/>
        <v>184.8</v>
      </c>
      <c r="T9" s="11">
        <f t="shared" si="8"/>
        <v>1273.2</v>
      </c>
      <c r="U9" s="2"/>
      <c r="V9" s="3"/>
    </row>
    <row r="10" spans="1:22" x14ac:dyDescent="0.3">
      <c r="A10" s="142">
        <v>7</v>
      </c>
      <c r="B10" s="16">
        <f t="shared" si="9"/>
        <v>7</v>
      </c>
      <c r="C10" s="13">
        <f t="shared" si="17"/>
        <v>490</v>
      </c>
      <c r="D10" s="12">
        <f t="shared" si="0"/>
        <v>1260</v>
      </c>
      <c r="E10" s="13">
        <f t="shared" si="18"/>
        <v>196</v>
      </c>
      <c r="F10" s="13">
        <f t="shared" si="1"/>
        <v>385</v>
      </c>
      <c r="G10" s="13">
        <f t="shared" si="10"/>
        <v>581.32000000000005</v>
      </c>
      <c r="H10" s="13">
        <f t="shared" si="11"/>
        <v>528.88</v>
      </c>
      <c r="I10" s="13">
        <f t="shared" si="12"/>
        <v>493.75</v>
      </c>
      <c r="J10" s="13">
        <f t="shared" si="13"/>
        <v>476.25</v>
      </c>
      <c r="K10" s="13">
        <f t="shared" si="14"/>
        <v>477.5</v>
      </c>
      <c r="L10" s="13">
        <f t="shared" si="15"/>
        <v>462.44</v>
      </c>
      <c r="M10" s="13">
        <f t="shared" si="16"/>
        <v>752.5</v>
      </c>
      <c r="N10" s="13">
        <f t="shared" si="4"/>
        <v>539</v>
      </c>
      <c r="O10" s="12">
        <f t="shared" si="2"/>
        <v>1701</v>
      </c>
      <c r="P10" s="13">
        <f t="shared" si="3"/>
        <v>215.6</v>
      </c>
      <c r="Q10" s="13">
        <f t="shared" si="5"/>
        <v>423.5</v>
      </c>
      <c r="R10" s="13">
        <f t="shared" si="6"/>
        <v>1701</v>
      </c>
      <c r="S10" s="13">
        <f t="shared" si="7"/>
        <v>215.6</v>
      </c>
      <c r="T10" s="11">
        <f t="shared" si="8"/>
        <v>1485.4</v>
      </c>
      <c r="U10" s="2"/>
      <c r="V10" s="3"/>
    </row>
    <row r="11" spans="1:22" x14ac:dyDescent="0.3">
      <c r="A11" s="142">
        <v>8</v>
      </c>
      <c r="B11" s="16">
        <f t="shared" si="9"/>
        <v>8</v>
      </c>
      <c r="C11" s="13">
        <f t="shared" si="17"/>
        <v>560</v>
      </c>
      <c r="D11" s="12">
        <f t="shared" si="0"/>
        <v>1440</v>
      </c>
      <c r="E11" s="13">
        <f t="shared" si="18"/>
        <v>224</v>
      </c>
      <c r="F11" s="13">
        <f t="shared" si="1"/>
        <v>440</v>
      </c>
      <c r="G11" s="13">
        <f t="shared" si="10"/>
        <v>665.08</v>
      </c>
      <c r="H11" s="13">
        <f t="shared" si="11"/>
        <v>603.88</v>
      </c>
      <c r="I11" s="13">
        <f t="shared" si="12"/>
        <v>563.75</v>
      </c>
      <c r="J11" s="13">
        <f t="shared" si="13"/>
        <v>543.75</v>
      </c>
      <c r="K11" s="13">
        <f t="shared" si="14"/>
        <v>545</v>
      </c>
      <c r="L11" s="13">
        <f t="shared" si="15"/>
        <v>527.94000000000005</v>
      </c>
      <c r="M11" s="13">
        <f t="shared" si="16"/>
        <v>860</v>
      </c>
      <c r="N11" s="13">
        <f t="shared" si="4"/>
        <v>616</v>
      </c>
      <c r="O11" s="12">
        <f t="shared" si="2"/>
        <v>1944</v>
      </c>
      <c r="P11" s="13">
        <f t="shared" si="3"/>
        <v>246.4</v>
      </c>
      <c r="Q11" s="13">
        <f t="shared" si="5"/>
        <v>484</v>
      </c>
      <c r="R11" s="13">
        <f t="shared" si="6"/>
        <v>1944</v>
      </c>
      <c r="S11" s="13">
        <f t="shared" si="7"/>
        <v>246.4</v>
      </c>
      <c r="T11" s="11">
        <f t="shared" si="8"/>
        <v>1697.6</v>
      </c>
      <c r="U11" s="2"/>
      <c r="V11" s="3"/>
    </row>
    <row r="12" spans="1:22" x14ac:dyDescent="0.3">
      <c r="A12" s="142">
        <v>9</v>
      </c>
      <c r="B12" s="16">
        <f t="shared" si="9"/>
        <v>9</v>
      </c>
      <c r="C12" s="13">
        <f t="shared" si="17"/>
        <v>630</v>
      </c>
      <c r="D12" s="12">
        <f t="shared" si="0"/>
        <v>1620</v>
      </c>
      <c r="E12" s="13">
        <f t="shared" si="18"/>
        <v>252</v>
      </c>
      <c r="F12" s="13">
        <f t="shared" si="1"/>
        <v>495</v>
      </c>
      <c r="G12" s="13">
        <f t="shared" si="10"/>
        <v>748.84</v>
      </c>
      <c r="H12" s="13">
        <f t="shared" si="11"/>
        <v>678.88</v>
      </c>
      <c r="I12" s="13">
        <f t="shared" si="12"/>
        <v>633.75</v>
      </c>
      <c r="J12" s="13">
        <f t="shared" si="13"/>
        <v>611.25</v>
      </c>
      <c r="K12" s="13">
        <f t="shared" si="14"/>
        <v>612.5</v>
      </c>
      <c r="L12" s="13">
        <f t="shared" si="15"/>
        <v>593.44000000000005</v>
      </c>
      <c r="M12" s="13">
        <f t="shared" si="16"/>
        <v>967.5</v>
      </c>
      <c r="N12" s="13">
        <f t="shared" si="4"/>
        <v>693</v>
      </c>
      <c r="O12" s="12">
        <f t="shared" si="2"/>
        <v>2187</v>
      </c>
      <c r="P12" s="13">
        <f t="shared" si="3"/>
        <v>277.2</v>
      </c>
      <c r="Q12" s="13">
        <f t="shared" si="5"/>
        <v>544.5</v>
      </c>
      <c r="R12" s="13">
        <f t="shared" si="6"/>
        <v>2187</v>
      </c>
      <c r="S12" s="13">
        <f t="shared" si="7"/>
        <v>277.2</v>
      </c>
      <c r="T12" s="11">
        <f t="shared" si="8"/>
        <v>1909.8</v>
      </c>
      <c r="U12" s="2"/>
      <c r="V12" s="3"/>
    </row>
    <row r="13" spans="1:22" x14ac:dyDescent="0.3">
      <c r="A13" s="142">
        <v>10</v>
      </c>
      <c r="B13" s="16">
        <f t="shared" si="9"/>
        <v>10</v>
      </c>
      <c r="C13" s="13">
        <f t="shared" si="17"/>
        <v>700</v>
      </c>
      <c r="D13" s="12">
        <f t="shared" si="0"/>
        <v>1800</v>
      </c>
      <c r="E13" s="13">
        <f t="shared" si="18"/>
        <v>280</v>
      </c>
      <c r="F13" s="13">
        <f t="shared" si="1"/>
        <v>550</v>
      </c>
      <c r="G13" s="13">
        <f t="shared" si="10"/>
        <v>832.6</v>
      </c>
      <c r="H13" s="13">
        <f t="shared" si="11"/>
        <v>753.88</v>
      </c>
      <c r="I13" s="13">
        <f t="shared" si="12"/>
        <v>703.75</v>
      </c>
      <c r="J13" s="13">
        <f t="shared" si="13"/>
        <v>678.75</v>
      </c>
      <c r="K13" s="13">
        <f t="shared" si="14"/>
        <v>680</v>
      </c>
      <c r="L13" s="13">
        <f t="shared" si="15"/>
        <v>658.94</v>
      </c>
      <c r="M13" s="13">
        <f t="shared" si="16"/>
        <v>1075</v>
      </c>
      <c r="N13" s="13">
        <f t="shared" si="4"/>
        <v>770</v>
      </c>
      <c r="O13" s="12">
        <f t="shared" si="2"/>
        <v>2430</v>
      </c>
      <c r="P13" s="13">
        <f t="shared" si="3"/>
        <v>308</v>
      </c>
      <c r="Q13" s="13">
        <f t="shared" si="5"/>
        <v>605</v>
      </c>
      <c r="R13" s="13">
        <f t="shared" si="6"/>
        <v>2430</v>
      </c>
      <c r="S13" s="13">
        <f t="shared" si="7"/>
        <v>308</v>
      </c>
      <c r="T13" s="11">
        <f t="shared" si="8"/>
        <v>2122</v>
      </c>
      <c r="U13" s="2"/>
      <c r="V13" s="3"/>
    </row>
    <row r="14" spans="1:22" x14ac:dyDescent="0.3">
      <c r="A14" s="142">
        <v>11</v>
      </c>
      <c r="B14" s="16">
        <f t="shared" si="9"/>
        <v>11</v>
      </c>
      <c r="C14" s="13">
        <f t="shared" si="17"/>
        <v>770</v>
      </c>
      <c r="D14" s="12">
        <f t="shared" si="0"/>
        <v>1980</v>
      </c>
      <c r="E14" s="13">
        <f t="shared" si="18"/>
        <v>308</v>
      </c>
      <c r="F14" s="13">
        <f t="shared" si="1"/>
        <v>605</v>
      </c>
      <c r="G14" s="13">
        <f t="shared" si="10"/>
        <v>916.36</v>
      </c>
      <c r="H14" s="13">
        <f t="shared" si="11"/>
        <v>828.88</v>
      </c>
      <c r="I14" s="13">
        <f t="shared" si="12"/>
        <v>773.75</v>
      </c>
      <c r="J14" s="13">
        <f t="shared" si="13"/>
        <v>746.25</v>
      </c>
      <c r="K14" s="13">
        <f t="shared" si="14"/>
        <v>747.5</v>
      </c>
      <c r="L14" s="13">
        <f t="shared" si="15"/>
        <v>724.44</v>
      </c>
      <c r="M14" s="13">
        <f t="shared" si="16"/>
        <v>1182.5</v>
      </c>
      <c r="N14" s="13">
        <f t="shared" si="4"/>
        <v>847</v>
      </c>
      <c r="O14" s="12">
        <f t="shared" si="2"/>
        <v>2673</v>
      </c>
      <c r="P14" s="13">
        <f t="shared" si="3"/>
        <v>338.8</v>
      </c>
      <c r="Q14" s="13">
        <f t="shared" si="5"/>
        <v>665.5</v>
      </c>
      <c r="R14" s="13">
        <f t="shared" si="6"/>
        <v>2673</v>
      </c>
      <c r="S14" s="13">
        <f t="shared" si="7"/>
        <v>338.8</v>
      </c>
      <c r="T14" s="11">
        <f t="shared" si="8"/>
        <v>2334.1999999999998</v>
      </c>
      <c r="U14" s="2"/>
      <c r="V14" s="3"/>
    </row>
    <row r="15" spans="1:22" x14ac:dyDescent="0.3">
      <c r="A15" s="142">
        <v>12</v>
      </c>
      <c r="B15" s="16">
        <f t="shared" si="9"/>
        <v>12</v>
      </c>
      <c r="C15" s="13">
        <f t="shared" si="17"/>
        <v>840</v>
      </c>
      <c r="D15" s="12">
        <f t="shared" si="0"/>
        <v>2160</v>
      </c>
      <c r="E15" s="13">
        <f t="shared" si="18"/>
        <v>336</v>
      </c>
      <c r="F15" s="13">
        <f t="shared" si="1"/>
        <v>660</v>
      </c>
      <c r="G15" s="13">
        <f t="shared" si="10"/>
        <v>1000.12</v>
      </c>
      <c r="H15" s="13">
        <f t="shared" si="11"/>
        <v>903.88</v>
      </c>
      <c r="I15" s="13">
        <f t="shared" si="12"/>
        <v>843.75</v>
      </c>
      <c r="J15" s="13">
        <f t="shared" si="13"/>
        <v>813.75</v>
      </c>
      <c r="K15" s="13">
        <f t="shared" si="14"/>
        <v>815</v>
      </c>
      <c r="L15" s="13">
        <f t="shared" si="15"/>
        <v>789.94</v>
      </c>
      <c r="M15" s="13">
        <f t="shared" si="16"/>
        <v>1290</v>
      </c>
      <c r="N15" s="13">
        <f t="shared" si="4"/>
        <v>924</v>
      </c>
      <c r="O15" s="12">
        <f t="shared" si="2"/>
        <v>2916</v>
      </c>
      <c r="P15" s="13">
        <f t="shared" si="3"/>
        <v>369.6</v>
      </c>
      <c r="Q15" s="13">
        <f t="shared" si="5"/>
        <v>726</v>
      </c>
      <c r="R15" s="13">
        <f t="shared" si="6"/>
        <v>2916</v>
      </c>
      <c r="S15" s="13">
        <f t="shared" si="7"/>
        <v>369.6</v>
      </c>
      <c r="T15" s="11">
        <f t="shared" si="8"/>
        <v>2546.4</v>
      </c>
      <c r="U15" s="2"/>
      <c r="V15" s="3"/>
    </row>
    <row r="16" spans="1:22" x14ac:dyDescent="0.3">
      <c r="A16" s="142">
        <v>13</v>
      </c>
      <c r="B16" s="16">
        <f t="shared" si="9"/>
        <v>13</v>
      </c>
      <c r="C16" s="13">
        <f t="shared" si="17"/>
        <v>910</v>
      </c>
      <c r="D16" s="12">
        <f t="shared" si="0"/>
        <v>2340</v>
      </c>
      <c r="E16" s="13">
        <f t="shared" si="18"/>
        <v>364</v>
      </c>
      <c r="F16" s="13">
        <f t="shared" si="1"/>
        <v>715</v>
      </c>
      <c r="G16" s="13">
        <f t="shared" si="10"/>
        <v>1083.8800000000001</v>
      </c>
      <c r="H16" s="13">
        <f t="shared" si="11"/>
        <v>978.88</v>
      </c>
      <c r="I16" s="13">
        <f t="shared" si="12"/>
        <v>913.75</v>
      </c>
      <c r="J16" s="13">
        <f t="shared" si="13"/>
        <v>881.25</v>
      </c>
      <c r="K16" s="13">
        <f t="shared" si="14"/>
        <v>882.5</v>
      </c>
      <c r="L16" s="13">
        <f t="shared" si="15"/>
        <v>855.44</v>
      </c>
      <c r="M16" s="13">
        <f t="shared" si="16"/>
        <v>1397.5</v>
      </c>
      <c r="N16" s="13">
        <f t="shared" si="4"/>
        <v>1001</v>
      </c>
      <c r="O16" s="12">
        <f t="shared" si="2"/>
        <v>3159</v>
      </c>
      <c r="P16" s="13">
        <f t="shared" si="3"/>
        <v>400.4</v>
      </c>
      <c r="Q16" s="13">
        <f t="shared" si="5"/>
        <v>786.5</v>
      </c>
      <c r="R16" s="13">
        <f t="shared" si="6"/>
        <v>3159</v>
      </c>
      <c r="S16" s="13">
        <f t="shared" si="7"/>
        <v>400.4</v>
      </c>
      <c r="T16" s="11">
        <f t="shared" si="8"/>
        <v>2758.6</v>
      </c>
      <c r="U16" s="2"/>
      <c r="V16" s="3"/>
    </row>
    <row r="17" spans="1:22" x14ac:dyDescent="0.3">
      <c r="A17" s="142">
        <v>14</v>
      </c>
      <c r="B17" s="16">
        <f t="shared" si="9"/>
        <v>14</v>
      </c>
      <c r="C17" s="13">
        <f t="shared" si="17"/>
        <v>980</v>
      </c>
      <c r="D17" s="12">
        <f t="shared" si="0"/>
        <v>2520</v>
      </c>
      <c r="E17" s="13">
        <f t="shared" si="18"/>
        <v>392</v>
      </c>
      <c r="F17" s="13">
        <f t="shared" si="1"/>
        <v>770</v>
      </c>
      <c r="G17" s="13">
        <f t="shared" si="10"/>
        <v>1167.6400000000001</v>
      </c>
      <c r="H17" s="13">
        <f t="shared" si="11"/>
        <v>1053.8800000000001</v>
      </c>
      <c r="I17" s="13">
        <f t="shared" si="12"/>
        <v>983.75</v>
      </c>
      <c r="J17" s="13">
        <f t="shared" si="13"/>
        <v>948.75</v>
      </c>
      <c r="K17" s="13">
        <f t="shared" si="14"/>
        <v>950</v>
      </c>
      <c r="L17" s="13">
        <f t="shared" si="15"/>
        <v>920.94</v>
      </c>
      <c r="M17" s="13">
        <f t="shared" si="16"/>
        <v>1505</v>
      </c>
      <c r="N17" s="13">
        <f t="shared" si="4"/>
        <v>1078</v>
      </c>
      <c r="O17" s="12">
        <f t="shared" si="2"/>
        <v>3402</v>
      </c>
      <c r="P17" s="13">
        <f t="shared" si="3"/>
        <v>431.2</v>
      </c>
      <c r="Q17" s="13">
        <f t="shared" si="5"/>
        <v>847</v>
      </c>
      <c r="R17" s="13">
        <f t="shared" si="6"/>
        <v>3402</v>
      </c>
      <c r="S17" s="13">
        <f t="shared" si="7"/>
        <v>431.2</v>
      </c>
      <c r="T17" s="11">
        <f t="shared" si="8"/>
        <v>2970.8</v>
      </c>
      <c r="U17" s="2"/>
      <c r="V17" s="3"/>
    </row>
    <row r="18" spans="1:22" x14ac:dyDescent="0.3">
      <c r="A18" s="142">
        <v>15</v>
      </c>
      <c r="B18" s="16">
        <f t="shared" si="9"/>
        <v>15</v>
      </c>
      <c r="C18" s="13">
        <f t="shared" si="17"/>
        <v>1050</v>
      </c>
      <c r="D18" s="12">
        <f t="shared" si="0"/>
        <v>2700</v>
      </c>
      <c r="E18" s="13">
        <f t="shared" si="18"/>
        <v>420</v>
      </c>
      <c r="F18" s="13">
        <f t="shared" si="1"/>
        <v>825</v>
      </c>
      <c r="G18" s="13">
        <f t="shared" si="10"/>
        <v>1251.4000000000001</v>
      </c>
      <c r="H18" s="13">
        <f t="shared" si="11"/>
        <v>1128.8800000000001</v>
      </c>
      <c r="I18" s="13">
        <f t="shared" si="12"/>
        <v>1053.75</v>
      </c>
      <c r="J18" s="13">
        <f t="shared" si="13"/>
        <v>1016.25</v>
      </c>
      <c r="K18" s="13">
        <f t="shared" si="14"/>
        <v>1017.5</v>
      </c>
      <c r="L18" s="13">
        <f t="shared" si="15"/>
        <v>986.44</v>
      </c>
      <c r="M18" s="13">
        <f t="shared" si="16"/>
        <v>1612.5</v>
      </c>
      <c r="N18" s="13">
        <f t="shared" si="4"/>
        <v>1155</v>
      </c>
      <c r="O18" s="12">
        <f t="shared" si="2"/>
        <v>3645</v>
      </c>
      <c r="P18" s="13">
        <f t="shared" si="3"/>
        <v>462</v>
      </c>
      <c r="Q18" s="13">
        <f t="shared" si="5"/>
        <v>907.5</v>
      </c>
      <c r="R18" s="13">
        <f t="shared" si="6"/>
        <v>3645</v>
      </c>
      <c r="S18" s="13">
        <f t="shared" si="7"/>
        <v>462</v>
      </c>
      <c r="T18" s="11">
        <f t="shared" si="8"/>
        <v>3183</v>
      </c>
      <c r="U18" s="2"/>
      <c r="V18" s="3"/>
    </row>
    <row r="19" spans="1:22" x14ac:dyDescent="0.3">
      <c r="A19" s="142">
        <v>16</v>
      </c>
      <c r="B19" s="16">
        <f t="shared" si="9"/>
        <v>16</v>
      </c>
      <c r="C19" s="13">
        <f t="shared" si="17"/>
        <v>1120</v>
      </c>
      <c r="D19" s="12">
        <f t="shared" si="0"/>
        <v>2880</v>
      </c>
      <c r="E19" s="13">
        <f t="shared" si="18"/>
        <v>448</v>
      </c>
      <c r="F19" s="13">
        <f t="shared" si="1"/>
        <v>880</v>
      </c>
      <c r="G19" s="13">
        <f t="shared" si="10"/>
        <v>1335.16</v>
      </c>
      <c r="H19" s="13">
        <f t="shared" si="11"/>
        <v>1203.8800000000001</v>
      </c>
      <c r="I19" s="13">
        <f t="shared" si="12"/>
        <v>1123.75</v>
      </c>
      <c r="J19" s="13">
        <f t="shared" si="13"/>
        <v>1083.75</v>
      </c>
      <c r="K19" s="13">
        <f t="shared" si="14"/>
        <v>1085</v>
      </c>
      <c r="L19" s="13">
        <f t="shared" si="15"/>
        <v>1051.94</v>
      </c>
      <c r="M19" s="13">
        <f t="shared" si="16"/>
        <v>1720</v>
      </c>
      <c r="N19" s="13">
        <f t="shared" si="4"/>
        <v>1232</v>
      </c>
      <c r="O19" s="12">
        <f t="shared" si="2"/>
        <v>3888</v>
      </c>
      <c r="P19" s="13">
        <f t="shared" si="3"/>
        <v>492.8</v>
      </c>
      <c r="Q19" s="13">
        <f t="shared" si="5"/>
        <v>968</v>
      </c>
      <c r="R19" s="13">
        <f t="shared" si="6"/>
        <v>3888</v>
      </c>
      <c r="S19" s="13">
        <f t="shared" si="7"/>
        <v>492.8</v>
      </c>
      <c r="T19" s="11">
        <f t="shared" si="8"/>
        <v>3395.2</v>
      </c>
      <c r="U19" s="2"/>
      <c r="V19" s="3"/>
    </row>
    <row r="20" spans="1:22" x14ac:dyDescent="0.3">
      <c r="A20" s="142">
        <v>17</v>
      </c>
      <c r="B20" s="16">
        <f t="shared" si="9"/>
        <v>17</v>
      </c>
      <c r="C20" s="13">
        <f t="shared" si="17"/>
        <v>1190</v>
      </c>
      <c r="D20" s="12">
        <f t="shared" si="0"/>
        <v>3060</v>
      </c>
      <c r="E20" s="13">
        <f t="shared" si="18"/>
        <v>476</v>
      </c>
      <c r="F20" s="13">
        <f t="shared" si="1"/>
        <v>935</v>
      </c>
      <c r="G20" s="13">
        <f t="shared" si="10"/>
        <v>1418.92</v>
      </c>
      <c r="H20" s="13">
        <f t="shared" si="11"/>
        <v>1278.8800000000001</v>
      </c>
      <c r="I20" s="13">
        <f t="shared" si="12"/>
        <v>1193.75</v>
      </c>
      <c r="J20" s="13">
        <f t="shared" si="13"/>
        <v>1151.25</v>
      </c>
      <c r="K20" s="13">
        <f t="shared" si="14"/>
        <v>1152.5</v>
      </c>
      <c r="L20" s="13">
        <f t="shared" si="15"/>
        <v>1117.44</v>
      </c>
      <c r="M20" s="13">
        <f t="shared" si="16"/>
        <v>1827.5</v>
      </c>
      <c r="N20" s="13">
        <f t="shared" si="4"/>
        <v>1309</v>
      </c>
      <c r="O20" s="12">
        <f t="shared" si="2"/>
        <v>4131</v>
      </c>
      <c r="P20" s="13">
        <f t="shared" si="3"/>
        <v>523.6</v>
      </c>
      <c r="Q20" s="13">
        <f t="shared" si="5"/>
        <v>1028.5</v>
      </c>
      <c r="R20" s="13">
        <f t="shared" si="6"/>
        <v>4131</v>
      </c>
      <c r="S20" s="13">
        <f t="shared" si="7"/>
        <v>523.6</v>
      </c>
      <c r="T20" s="11">
        <f t="shared" si="8"/>
        <v>3607.4</v>
      </c>
      <c r="U20" s="2"/>
      <c r="V20" s="3"/>
    </row>
    <row r="21" spans="1:22" x14ac:dyDescent="0.3">
      <c r="A21" s="142">
        <v>18</v>
      </c>
      <c r="B21" s="16">
        <f t="shared" si="9"/>
        <v>18</v>
      </c>
      <c r="C21" s="13">
        <f t="shared" si="17"/>
        <v>1260</v>
      </c>
      <c r="D21" s="12">
        <f t="shared" si="0"/>
        <v>3240</v>
      </c>
      <c r="E21" s="13">
        <f t="shared" si="18"/>
        <v>504</v>
      </c>
      <c r="F21" s="13">
        <f t="shared" si="1"/>
        <v>990</v>
      </c>
      <c r="G21" s="13">
        <f t="shared" si="10"/>
        <v>1502.68</v>
      </c>
      <c r="H21" s="13">
        <f t="shared" si="11"/>
        <v>1353.88</v>
      </c>
      <c r="I21" s="13">
        <f t="shared" si="12"/>
        <v>1263.75</v>
      </c>
      <c r="J21" s="13">
        <f t="shared" si="13"/>
        <v>1218.75</v>
      </c>
      <c r="K21" s="13">
        <f t="shared" si="14"/>
        <v>1220</v>
      </c>
      <c r="L21" s="13">
        <f t="shared" si="15"/>
        <v>1182.94</v>
      </c>
      <c r="M21" s="13">
        <f t="shared" si="16"/>
        <v>1935</v>
      </c>
      <c r="N21" s="13">
        <f t="shared" si="4"/>
        <v>1386</v>
      </c>
      <c r="O21" s="12">
        <f t="shared" si="2"/>
        <v>4374</v>
      </c>
      <c r="P21" s="13">
        <f t="shared" si="3"/>
        <v>554.4</v>
      </c>
      <c r="Q21" s="13">
        <f t="shared" si="5"/>
        <v>1089</v>
      </c>
      <c r="R21" s="13">
        <f t="shared" si="6"/>
        <v>4374</v>
      </c>
      <c r="S21" s="13">
        <f t="shared" si="7"/>
        <v>554.4</v>
      </c>
      <c r="T21" s="11">
        <f t="shared" si="8"/>
        <v>3819.6</v>
      </c>
      <c r="U21" s="2"/>
      <c r="V21" s="3"/>
    </row>
    <row r="22" spans="1:22" x14ac:dyDescent="0.3">
      <c r="A22" s="142">
        <v>19</v>
      </c>
      <c r="B22" s="16">
        <f t="shared" si="9"/>
        <v>19</v>
      </c>
      <c r="C22" s="13">
        <f t="shared" si="17"/>
        <v>1330</v>
      </c>
      <c r="D22" s="12">
        <f t="shared" si="0"/>
        <v>3420</v>
      </c>
      <c r="E22" s="13">
        <f t="shared" si="18"/>
        <v>532</v>
      </c>
      <c r="F22" s="13">
        <f t="shared" si="1"/>
        <v>1045</v>
      </c>
      <c r="G22" s="13">
        <f t="shared" si="10"/>
        <v>1586.44</v>
      </c>
      <c r="H22" s="13">
        <f t="shared" si="11"/>
        <v>1428.88</v>
      </c>
      <c r="I22" s="13">
        <f t="shared" si="12"/>
        <v>1333.75</v>
      </c>
      <c r="J22" s="13">
        <f t="shared" si="13"/>
        <v>1286.25</v>
      </c>
      <c r="K22" s="13">
        <f t="shared" si="14"/>
        <v>1287.5</v>
      </c>
      <c r="L22" s="13">
        <f t="shared" si="15"/>
        <v>1248.44</v>
      </c>
      <c r="M22" s="13">
        <f t="shared" si="16"/>
        <v>2042.5</v>
      </c>
      <c r="N22" s="13">
        <f t="shared" si="4"/>
        <v>1463</v>
      </c>
      <c r="O22" s="12">
        <f t="shared" si="2"/>
        <v>4617</v>
      </c>
      <c r="P22" s="13">
        <f t="shared" si="3"/>
        <v>585.20000000000005</v>
      </c>
      <c r="Q22" s="13">
        <f t="shared" si="5"/>
        <v>1149.5</v>
      </c>
      <c r="R22" s="13">
        <f t="shared" si="6"/>
        <v>4617</v>
      </c>
      <c r="S22" s="13">
        <f t="shared" si="7"/>
        <v>585.20000000000005</v>
      </c>
      <c r="T22" s="11">
        <f t="shared" si="8"/>
        <v>4031.8</v>
      </c>
      <c r="U22" s="2"/>
      <c r="V22" s="3"/>
    </row>
    <row r="23" spans="1:22" x14ac:dyDescent="0.3">
      <c r="A23" s="142">
        <v>20</v>
      </c>
      <c r="B23" s="16">
        <f t="shared" si="9"/>
        <v>20</v>
      </c>
      <c r="C23" s="13">
        <f t="shared" si="17"/>
        <v>1400</v>
      </c>
      <c r="D23" s="12">
        <f t="shared" si="0"/>
        <v>3600</v>
      </c>
      <c r="E23" s="13">
        <f t="shared" si="18"/>
        <v>560</v>
      </c>
      <c r="F23" s="13">
        <f t="shared" si="1"/>
        <v>1100</v>
      </c>
      <c r="G23" s="13">
        <f t="shared" si="10"/>
        <v>1670.2</v>
      </c>
      <c r="H23" s="13">
        <f t="shared" si="11"/>
        <v>1503.88</v>
      </c>
      <c r="I23" s="13">
        <f t="shared" si="12"/>
        <v>1403.75</v>
      </c>
      <c r="J23" s="13">
        <f t="shared" si="13"/>
        <v>1353.75</v>
      </c>
      <c r="K23" s="13">
        <f t="shared" si="14"/>
        <v>1355</v>
      </c>
      <c r="L23" s="13">
        <f t="shared" si="15"/>
        <v>1313.94</v>
      </c>
      <c r="M23" s="13">
        <f t="shared" si="16"/>
        <v>2150</v>
      </c>
      <c r="N23" s="13">
        <f t="shared" si="4"/>
        <v>1540</v>
      </c>
      <c r="O23" s="12">
        <f t="shared" si="2"/>
        <v>4860</v>
      </c>
      <c r="P23" s="13">
        <f t="shared" si="3"/>
        <v>616</v>
      </c>
      <c r="Q23" s="13">
        <f t="shared" si="5"/>
        <v>1210</v>
      </c>
      <c r="R23" s="13">
        <f t="shared" si="6"/>
        <v>4860</v>
      </c>
      <c r="S23" s="13">
        <f t="shared" si="7"/>
        <v>616</v>
      </c>
      <c r="T23" s="11">
        <f t="shared" si="8"/>
        <v>4244</v>
      </c>
      <c r="U23" s="2"/>
      <c r="V23" s="3"/>
    </row>
    <row r="24" spans="1:22" x14ac:dyDescent="0.3">
      <c r="A24" s="142">
        <v>21</v>
      </c>
      <c r="B24" s="16">
        <f t="shared" si="9"/>
        <v>21</v>
      </c>
      <c r="C24" s="13">
        <f t="shared" si="17"/>
        <v>1470</v>
      </c>
      <c r="D24" s="12">
        <f t="shared" si="0"/>
        <v>3780</v>
      </c>
      <c r="E24" s="13">
        <f t="shared" si="18"/>
        <v>588</v>
      </c>
      <c r="F24" s="13">
        <f t="shared" si="1"/>
        <v>1155</v>
      </c>
      <c r="G24" s="13">
        <f t="shared" si="10"/>
        <v>1753.96</v>
      </c>
      <c r="H24" s="13">
        <f t="shared" si="11"/>
        <v>1578.88</v>
      </c>
      <c r="I24" s="13">
        <f t="shared" si="12"/>
        <v>1473.75</v>
      </c>
      <c r="J24" s="13">
        <f t="shared" si="13"/>
        <v>1421.25</v>
      </c>
      <c r="K24" s="13">
        <f t="shared" si="14"/>
        <v>1422.5</v>
      </c>
      <c r="L24" s="13">
        <f t="shared" si="15"/>
        <v>1379.44</v>
      </c>
      <c r="M24" s="13">
        <f t="shared" si="16"/>
        <v>2257.5</v>
      </c>
      <c r="N24" s="13">
        <f t="shared" si="4"/>
        <v>1617</v>
      </c>
      <c r="O24" s="12">
        <f t="shared" si="2"/>
        <v>5103</v>
      </c>
      <c r="P24" s="13">
        <f t="shared" si="3"/>
        <v>646.79999999999995</v>
      </c>
      <c r="Q24" s="13">
        <f t="shared" si="5"/>
        <v>1270.5</v>
      </c>
      <c r="R24" s="13">
        <f t="shared" si="6"/>
        <v>5103</v>
      </c>
      <c r="S24" s="13">
        <f t="shared" si="7"/>
        <v>646.79999999999995</v>
      </c>
      <c r="T24" s="11">
        <f t="shared" si="8"/>
        <v>4456.2</v>
      </c>
      <c r="U24" s="2"/>
      <c r="V24" s="3"/>
    </row>
    <row r="25" spans="1:22" x14ac:dyDescent="0.3">
      <c r="A25" s="142">
        <v>22</v>
      </c>
      <c r="B25" s="16">
        <f t="shared" si="9"/>
        <v>22</v>
      </c>
      <c r="C25" s="13">
        <f t="shared" si="17"/>
        <v>1540</v>
      </c>
      <c r="D25" s="12">
        <f t="shared" si="0"/>
        <v>3960</v>
      </c>
      <c r="E25" s="13">
        <f t="shared" si="18"/>
        <v>616</v>
      </c>
      <c r="F25" s="13">
        <f t="shared" si="1"/>
        <v>1210</v>
      </c>
      <c r="G25" s="13">
        <f t="shared" si="10"/>
        <v>1837.72</v>
      </c>
      <c r="H25" s="13">
        <f t="shared" si="11"/>
        <v>1653.88</v>
      </c>
      <c r="I25" s="13">
        <f t="shared" si="12"/>
        <v>1543.75</v>
      </c>
      <c r="J25" s="13">
        <f t="shared" si="13"/>
        <v>1488.75</v>
      </c>
      <c r="K25" s="13">
        <f t="shared" si="14"/>
        <v>1490</v>
      </c>
      <c r="L25" s="13">
        <f t="shared" si="15"/>
        <v>1444.94</v>
      </c>
      <c r="M25" s="13">
        <f t="shared" si="16"/>
        <v>2365</v>
      </c>
      <c r="N25" s="13">
        <f t="shared" si="4"/>
        <v>1694</v>
      </c>
      <c r="O25" s="12">
        <f t="shared" si="2"/>
        <v>5346</v>
      </c>
      <c r="P25" s="13">
        <f t="shared" si="3"/>
        <v>677.6</v>
      </c>
      <c r="Q25" s="13">
        <f t="shared" si="5"/>
        <v>1331</v>
      </c>
      <c r="R25" s="13">
        <f t="shared" si="6"/>
        <v>5346</v>
      </c>
      <c r="S25" s="13">
        <f t="shared" si="7"/>
        <v>677.6</v>
      </c>
      <c r="T25" s="11">
        <f t="shared" si="8"/>
        <v>4668.3999999999996</v>
      </c>
      <c r="U25" s="2"/>
      <c r="V25" s="3"/>
    </row>
    <row r="26" spans="1:22" x14ac:dyDescent="0.3">
      <c r="A26" s="142">
        <v>23</v>
      </c>
      <c r="B26" s="16">
        <f t="shared" si="9"/>
        <v>23</v>
      </c>
      <c r="C26" s="13">
        <f t="shared" si="17"/>
        <v>1610</v>
      </c>
      <c r="D26" s="12">
        <f t="shared" si="0"/>
        <v>4140</v>
      </c>
      <c r="E26" s="13">
        <f t="shared" si="18"/>
        <v>644</v>
      </c>
      <c r="F26" s="13">
        <f t="shared" si="1"/>
        <v>1265</v>
      </c>
      <c r="G26" s="13">
        <f t="shared" si="10"/>
        <v>1921.48</v>
      </c>
      <c r="H26" s="13">
        <f t="shared" si="11"/>
        <v>1728.88</v>
      </c>
      <c r="I26" s="13">
        <f t="shared" si="12"/>
        <v>1613.75</v>
      </c>
      <c r="J26" s="13">
        <f t="shared" si="13"/>
        <v>1556.25</v>
      </c>
      <c r="K26" s="13">
        <f t="shared" si="14"/>
        <v>1557.5</v>
      </c>
      <c r="L26" s="13">
        <f t="shared" si="15"/>
        <v>1510.44</v>
      </c>
      <c r="M26" s="13">
        <f t="shared" si="16"/>
        <v>2472.5</v>
      </c>
      <c r="N26" s="13">
        <f t="shared" si="4"/>
        <v>1771</v>
      </c>
      <c r="O26" s="12">
        <f t="shared" si="2"/>
        <v>5589</v>
      </c>
      <c r="P26" s="13">
        <f t="shared" si="3"/>
        <v>708.4</v>
      </c>
      <c r="Q26" s="13">
        <f t="shared" si="5"/>
        <v>1391.5</v>
      </c>
      <c r="R26" s="13">
        <f t="shared" si="6"/>
        <v>5589</v>
      </c>
      <c r="S26" s="13">
        <f t="shared" si="7"/>
        <v>708.4</v>
      </c>
      <c r="T26" s="11">
        <f t="shared" si="8"/>
        <v>4880.6000000000004</v>
      </c>
      <c r="U26" s="2"/>
      <c r="V26" s="3"/>
    </row>
    <row r="27" spans="1:22" x14ac:dyDescent="0.3">
      <c r="A27" s="142">
        <v>24</v>
      </c>
      <c r="B27" s="16">
        <f t="shared" si="9"/>
        <v>24</v>
      </c>
      <c r="C27" s="13">
        <f t="shared" si="17"/>
        <v>1680</v>
      </c>
      <c r="D27" s="12">
        <f t="shared" si="0"/>
        <v>4320</v>
      </c>
      <c r="E27" s="13">
        <f t="shared" si="18"/>
        <v>672</v>
      </c>
      <c r="F27" s="13">
        <f t="shared" si="1"/>
        <v>1320</v>
      </c>
      <c r="G27" s="13">
        <f t="shared" si="10"/>
        <v>2005.24</v>
      </c>
      <c r="H27" s="13">
        <f t="shared" si="11"/>
        <v>1803.88</v>
      </c>
      <c r="I27" s="13">
        <f t="shared" si="12"/>
        <v>1683.75</v>
      </c>
      <c r="J27" s="13">
        <f t="shared" si="13"/>
        <v>1623.75</v>
      </c>
      <c r="K27" s="13">
        <f t="shared" si="14"/>
        <v>1625</v>
      </c>
      <c r="L27" s="13">
        <f t="shared" si="15"/>
        <v>1575.94</v>
      </c>
      <c r="M27" s="13">
        <f t="shared" si="16"/>
        <v>2580</v>
      </c>
      <c r="N27" s="13">
        <f t="shared" si="4"/>
        <v>1848</v>
      </c>
      <c r="O27" s="12">
        <f t="shared" si="2"/>
        <v>5832</v>
      </c>
      <c r="P27" s="13">
        <f t="shared" si="3"/>
        <v>739.2</v>
      </c>
      <c r="Q27" s="13">
        <f t="shared" si="5"/>
        <v>1452</v>
      </c>
      <c r="R27" s="13">
        <f t="shared" si="6"/>
        <v>5832</v>
      </c>
      <c r="S27" s="13">
        <f t="shared" si="7"/>
        <v>739.2</v>
      </c>
      <c r="T27" s="11">
        <f t="shared" si="8"/>
        <v>5092.8</v>
      </c>
      <c r="U27" s="2"/>
      <c r="V27" s="3"/>
    </row>
    <row r="28" spans="1:22" x14ac:dyDescent="0.3">
      <c r="A28" s="142">
        <v>25</v>
      </c>
      <c r="B28" s="16">
        <f t="shared" si="9"/>
        <v>25</v>
      </c>
      <c r="C28" s="13">
        <f t="shared" si="17"/>
        <v>1750</v>
      </c>
      <c r="D28" s="12">
        <f t="shared" si="0"/>
        <v>4500</v>
      </c>
      <c r="E28" s="13">
        <f t="shared" si="18"/>
        <v>700</v>
      </c>
      <c r="F28" s="13">
        <f t="shared" si="1"/>
        <v>1375</v>
      </c>
      <c r="G28" s="13">
        <f t="shared" si="10"/>
        <v>2089</v>
      </c>
      <c r="H28" s="13">
        <f t="shared" si="11"/>
        <v>1878.88</v>
      </c>
      <c r="I28" s="13">
        <f t="shared" si="12"/>
        <v>1753.75</v>
      </c>
      <c r="J28" s="13">
        <f t="shared" si="13"/>
        <v>1691.25</v>
      </c>
      <c r="K28" s="13">
        <f t="shared" si="14"/>
        <v>1692.5</v>
      </c>
      <c r="L28" s="13">
        <f t="shared" si="15"/>
        <v>1641.44</v>
      </c>
      <c r="M28" s="13">
        <f t="shared" si="16"/>
        <v>2687.5</v>
      </c>
      <c r="N28" s="13">
        <f t="shared" si="4"/>
        <v>1925</v>
      </c>
      <c r="O28" s="12">
        <f t="shared" si="2"/>
        <v>6075</v>
      </c>
      <c r="P28" s="13">
        <f t="shared" si="3"/>
        <v>770</v>
      </c>
      <c r="Q28" s="13">
        <f t="shared" si="5"/>
        <v>1512.5</v>
      </c>
      <c r="R28" s="13">
        <f t="shared" si="6"/>
        <v>6075</v>
      </c>
      <c r="S28" s="13">
        <f t="shared" si="7"/>
        <v>770</v>
      </c>
      <c r="T28" s="11">
        <f t="shared" si="8"/>
        <v>5305</v>
      </c>
      <c r="U28" s="2"/>
      <c r="V28" s="3"/>
    </row>
    <row r="29" spans="1:22" x14ac:dyDescent="0.3">
      <c r="A29" s="142">
        <v>26</v>
      </c>
      <c r="B29" s="16">
        <f t="shared" si="9"/>
        <v>26</v>
      </c>
      <c r="C29" s="13">
        <f t="shared" si="17"/>
        <v>1820</v>
      </c>
      <c r="D29" s="12">
        <f t="shared" si="0"/>
        <v>4680</v>
      </c>
      <c r="E29" s="13">
        <f t="shared" si="18"/>
        <v>728</v>
      </c>
      <c r="F29" s="13">
        <f t="shared" si="1"/>
        <v>1430</v>
      </c>
      <c r="G29" s="13">
        <f t="shared" si="10"/>
        <v>2172.7600000000002</v>
      </c>
      <c r="H29" s="13">
        <f t="shared" si="11"/>
        <v>1953.88</v>
      </c>
      <c r="I29" s="13">
        <f t="shared" si="12"/>
        <v>1823.75</v>
      </c>
      <c r="J29" s="13">
        <f t="shared" si="13"/>
        <v>1758.75</v>
      </c>
      <c r="K29" s="13">
        <f t="shared" si="14"/>
        <v>1760</v>
      </c>
      <c r="L29" s="13">
        <f t="shared" si="15"/>
        <v>1706.94</v>
      </c>
      <c r="M29" s="13">
        <f t="shared" si="16"/>
        <v>2795</v>
      </c>
      <c r="N29" s="13">
        <f t="shared" si="4"/>
        <v>2002</v>
      </c>
      <c r="O29" s="12">
        <f t="shared" si="2"/>
        <v>6318</v>
      </c>
      <c r="P29" s="13">
        <f t="shared" si="3"/>
        <v>800.8</v>
      </c>
      <c r="Q29" s="13">
        <f t="shared" si="5"/>
        <v>1573</v>
      </c>
      <c r="R29" s="13">
        <f t="shared" si="6"/>
        <v>6318</v>
      </c>
      <c r="S29" s="13">
        <f t="shared" si="7"/>
        <v>800.8</v>
      </c>
      <c r="T29" s="11">
        <f t="shared" si="8"/>
        <v>5517.2</v>
      </c>
      <c r="U29" s="2"/>
      <c r="V29" s="3"/>
    </row>
    <row r="30" spans="1:22" x14ac:dyDescent="0.3">
      <c r="A30" s="142">
        <v>27</v>
      </c>
      <c r="B30" s="16">
        <f t="shared" si="9"/>
        <v>27</v>
      </c>
      <c r="C30" s="13">
        <f t="shared" si="17"/>
        <v>1890</v>
      </c>
      <c r="D30" s="12">
        <f t="shared" si="0"/>
        <v>4860</v>
      </c>
      <c r="E30" s="13">
        <f t="shared" si="18"/>
        <v>756</v>
      </c>
      <c r="F30" s="13">
        <f t="shared" si="1"/>
        <v>1485</v>
      </c>
      <c r="G30" s="13">
        <f t="shared" si="10"/>
        <v>2256.5200000000004</v>
      </c>
      <c r="H30" s="13">
        <f t="shared" si="11"/>
        <v>2028.88</v>
      </c>
      <c r="I30" s="13">
        <f t="shared" si="12"/>
        <v>1893.75</v>
      </c>
      <c r="J30" s="13">
        <f t="shared" si="13"/>
        <v>1826.25</v>
      </c>
      <c r="K30" s="13">
        <f t="shared" si="14"/>
        <v>1827.5</v>
      </c>
      <c r="L30" s="13">
        <f t="shared" si="15"/>
        <v>1772.44</v>
      </c>
      <c r="M30" s="13">
        <f t="shared" si="16"/>
        <v>2902.5</v>
      </c>
      <c r="N30" s="13">
        <f t="shared" si="4"/>
        <v>2079</v>
      </c>
      <c r="O30" s="12">
        <f t="shared" si="2"/>
        <v>6561</v>
      </c>
      <c r="P30" s="13">
        <f t="shared" si="3"/>
        <v>831.6</v>
      </c>
      <c r="Q30" s="13">
        <f t="shared" si="5"/>
        <v>1633.5</v>
      </c>
      <c r="R30" s="13">
        <f t="shared" si="6"/>
        <v>6561</v>
      </c>
      <c r="S30" s="13">
        <f t="shared" si="7"/>
        <v>831.6</v>
      </c>
      <c r="T30" s="11">
        <f t="shared" si="8"/>
        <v>5729.4</v>
      </c>
      <c r="U30" s="2"/>
      <c r="V30" s="3"/>
    </row>
    <row r="31" spans="1:22" x14ac:dyDescent="0.3">
      <c r="A31" s="142">
        <v>28</v>
      </c>
      <c r="B31" s="16">
        <f t="shared" si="9"/>
        <v>28</v>
      </c>
      <c r="C31" s="13">
        <f t="shared" si="17"/>
        <v>1960</v>
      </c>
      <c r="D31" s="12">
        <f t="shared" si="0"/>
        <v>5040</v>
      </c>
      <c r="E31" s="13">
        <f t="shared" si="18"/>
        <v>784</v>
      </c>
      <c r="F31" s="13">
        <f t="shared" si="1"/>
        <v>1540</v>
      </c>
      <c r="G31" s="13">
        <f t="shared" si="10"/>
        <v>2340.2800000000007</v>
      </c>
      <c r="H31" s="13">
        <f t="shared" si="11"/>
        <v>2103.88</v>
      </c>
      <c r="I31" s="13">
        <f t="shared" si="12"/>
        <v>1963.75</v>
      </c>
      <c r="J31" s="13">
        <f t="shared" si="13"/>
        <v>1893.75</v>
      </c>
      <c r="K31" s="13">
        <f t="shared" si="14"/>
        <v>1895</v>
      </c>
      <c r="L31" s="13">
        <f t="shared" si="15"/>
        <v>1837.94</v>
      </c>
      <c r="M31" s="13">
        <f t="shared" si="16"/>
        <v>3010</v>
      </c>
      <c r="N31" s="13">
        <f t="shared" si="4"/>
        <v>2156</v>
      </c>
      <c r="O31" s="12">
        <f t="shared" si="2"/>
        <v>6804</v>
      </c>
      <c r="P31" s="13">
        <f t="shared" si="3"/>
        <v>862.4</v>
      </c>
      <c r="Q31" s="13">
        <f t="shared" si="5"/>
        <v>1694</v>
      </c>
      <c r="R31" s="13">
        <f t="shared" si="6"/>
        <v>6804</v>
      </c>
      <c r="S31" s="13">
        <f t="shared" si="7"/>
        <v>862.4</v>
      </c>
      <c r="T31" s="11">
        <f t="shared" si="8"/>
        <v>5941.6</v>
      </c>
      <c r="U31" s="2"/>
      <c r="V31" s="3"/>
    </row>
    <row r="32" spans="1:22" x14ac:dyDescent="0.3">
      <c r="A32" s="142">
        <v>29</v>
      </c>
      <c r="B32" s="16">
        <f t="shared" si="9"/>
        <v>29</v>
      </c>
      <c r="C32" s="13">
        <f t="shared" si="17"/>
        <v>2030</v>
      </c>
      <c r="D32" s="12">
        <f t="shared" si="0"/>
        <v>5220</v>
      </c>
      <c r="E32" s="13">
        <f t="shared" si="18"/>
        <v>812</v>
      </c>
      <c r="F32" s="13">
        <f t="shared" si="1"/>
        <v>1595</v>
      </c>
      <c r="G32" s="13">
        <f t="shared" si="10"/>
        <v>2424.0400000000009</v>
      </c>
      <c r="H32" s="13">
        <f t="shared" si="11"/>
        <v>2178.88</v>
      </c>
      <c r="I32" s="13">
        <f t="shared" si="12"/>
        <v>2033.75</v>
      </c>
      <c r="J32" s="13">
        <f t="shared" si="13"/>
        <v>1961.25</v>
      </c>
      <c r="K32" s="13">
        <f t="shared" si="14"/>
        <v>1962.5</v>
      </c>
      <c r="L32" s="13">
        <f t="shared" si="15"/>
        <v>1903.44</v>
      </c>
      <c r="M32" s="13">
        <f t="shared" si="16"/>
        <v>3117.5</v>
      </c>
      <c r="N32" s="13">
        <f t="shared" si="4"/>
        <v>2233</v>
      </c>
      <c r="O32" s="12">
        <f t="shared" si="2"/>
        <v>7047</v>
      </c>
      <c r="P32" s="13">
        <f t="shared" si="3"/>
        <v>893.2</v>
      </c>
      <c r="Q32" s="13">
        <f t="shared" si="5"/>
        <v>1754.5</v>
      </c>
      <c r="R32" s="13">
        <f t="shared" si="6"/>
        <v>7047</v>
      </c>
      <c r="S32" s="13">
        <f t="shared" si="7"/>
        <v>893.2</v>
      </c>
      <c r="T32" s="11">
        <f t="shared" si="8"/>
        <v>6153.8</v>
      </c>
      <c r="U32" s="2"/>
      <c r="V32" s="3"/>
    </row>
    <row r="33" spans="1:22" x14ac:dyDescent="0.3">
      <c r="A33" s="142">
        <v>30</v>
      </c>
      <c r="B33" s="16">
        <f t="shared" si="9"/>
        <v>30</v>
      </c>
      <c r="C33" s="13">
        <f t="shared" si="17"/>
        <v>2100</v>
      </c>
      <c r="D33" s="12">
        <f t="shared" si="0"/>
        <v>5400</v>
      </c>
      <c r="E33" s="13">
        <f t="shared" si="18"/>
        <v>840</v>
      </c>
      <c r="F33" s="13">
        <f t="shared" si="1"/>
        <v>1650</v>
      </c>
      <c r="G33" s="13">
        <f t="shared" si="10"/>
        <v>2507.8000000000011</v>
      </c>
      <c r="H33" s="13">
        <f t="shared" si="11"/>
        <v>2253.88</v>
      </c>
      <c r="I33" s="13">
        <f t="shared" si="12"/>
        <v>2103.75</v>
      </c>
      <c r="J33" s="13">
        <f t="shared" si="13"/>
        <v>2028.75</v>
      </c>
      <c r="K33" s="13">
        <f t="shared" si="14"/>
        <v>2030</v>
      </c>
      <c r="L33" s="13">
        <f t="shared" si="15"/>
        <v>1968.94</v>
      </c>
      <c r="M33" s="13">
        <f t="shared" si="16"/>
        <v>3225</v>
      </c>
      <c r="N33" s="13">
        <f t="shared" si="4"/>
        <v>2310</v>
      </c>
      <c r="O33" s="12">
        <f t="shared" si="2"/>
        <v>7290</v>
      </c>
      <c r="P33" s="13">
        <f t="shared" si="3"/>
        <v>924</v>
      </c>
      <c r="Q33" s="13">
        <f t="shared" si="5"/>
        <v>1815</v>
      </c>
      <c r="R33" s="13">
        <f t="shared" si="6"/>
        <v>7290</v>
      </c>
      <c r="S33" s="13">
        <f t="shared" si="7"/>
        <v>924</v>
      </c>
      <c r="T33" s="11">
        <f t="shared" si="8"/>
        <v>6366</v>
      </c>
      <c r="U33" s="2"/>
      <c r="V33" s="3"/>
    </row>
    <row r="34" spans="1:22" x14ac:dyDescent="0.3">
      <c r="A34" s="142">
        <v>31</v>
      </c>
      <c r="B34" s="16">
        <f t="shared" si="9"/>
        <v>31</v>
      </c>
      <c r="C34" s="13">
        <f t="shared" si="17"/>
        <v>2170</v>
      </c>
      <c r="D34" s="12">
        <f t="shared" si="0"/>
        <v>5580</v>
      </c>
      <c r="E34" s="13">
        <f t="shared" si="18"/>
        <v>868</v>
      </c>
      <c r="F34" s="13">
        <f t="shared" si="1"/>
        <v>1705</v>
      </c>
      <c r="G34" s="13">
        <f t="shared" si="10"/>
        <v>2591.5600000000013</v>
      </c>
      <c r="H34" s="13">
        <f t="shared" si="11"/>
        <v>2328.88</v>
      </c>
      <c r="I34" s="13">
        <f t="shared" si="12"/>
        <v>2173.75</v>
      </c>
      <c r="J34" s="13">
        <f t="shared" si="13"/>
        <v>2096.25</v>
      </c>
      <c r="K34" s="13">
        <f t="shared" si="14"/>
        <v>2097.5</v>
      </c>
      <c r="L34" s="13">
        <f t="shared" si="15"/>
        <v>2034.44</v>
      </c>
      <c r="M34" s="13">
        <f t="shared" si="16"/>
        <v>3332.5</v>
      </c>
      <c r="N34" s="13">
        <f t="shared" si="4"/>
        <v>2387</v>
      </c>
      <c r="O34" s="12">
        <f t="shared" si="2"/>
        <v>7533</v>
      </c>
      <c r="P34" s="13">
        <f t="shared" si="3"/>
        <v>954.8</v>
      </c>
      <c r="Q34" s="13">
        <f t="shared" si="5"/>
        <v>1875.5</v>
      </c>
      <c r="R34" s="13">
        <f t="shared" si="6"/>
        <v>7533</v>
      </c>
      <c r="S34" s="13">
        <f t="shared" si="7"/>
        <v>954.8</v>
      </c>
      <c r="T34" s="11">
        <f t="shared" si="8"/>
        <v>6578.2</v>
      </c>
      <c r="U34" s="2"/>
      <c r="V34" s="3"/>
    </row>
    <row r="35" spans="1:22" x14ac:dyDescent="0.3">
      <c r="A35" s="142">
        <v>32</v>
      </c>
      <c r="B35" s="16">
        <f t="shared" si="9"/>
        <v>32</v>
      </c>
      <c r="C35" s="13">
        <f t="shared" si="17"/>
        <v>2240</v>
      </c>
      <c r="D35" s="12">
        <f t="shared" si="0"/>
        <v>5760</v>
      </c>
      <c r="E35" s="13">
        <f t="shared" si="18"/>
        <v>896</v>
      </c>
      <c r="F35" s="13">
        <f t="shared" si="1"/>
        <v>1760</v>
      </c>
      <c r="G35" s="13">
        <f t="shared" si="10"/>
        <v>2675.3200000000015</v>
      </c>
      <c r="H35" s="13">
        <f t="shared" si="11"/>
        <v>2403.88</v>
      </c>
      <c r="I35" s="13">
        <f t="shared" si="12"/>
        <v>2243.75</v>
      </c>
      <c r="J35" s="13">
        <f t="shared" si="13"/>
        <v>2163.75</v>
      </c>
      <c r="K35" s="13">
        <f t="shared" si="14"/>
        <v>2165</v>
      </c>
      <c r="L35" s="13">
        <f t="shared" si="15"/>
        <v>2099.94</v>
      </c>
      <c r="M35" s="13">
        <f t="shared" si="16"/>
        <v>3440</v>
      </c>
      <c r="N35" s="13">
        <f t="shared" si="4"/>
        <v>2464</v>
      </c>
      <c r="O35" s="12">
        <f t="shared" si="2"/>
        <v>7776</v>
      </c>
      <c r="P35" s="13">
        <f t="shared" si="3"/>
        <v>985.6</v>
      </c>
      <c r="Q35" s="13">
        <f t="shared" si="5"/>
        <v>1936</v>
      </c>
      <c r="R35" s="13">
        <f t="shared" si="6"/>
        <v>7776</v>
      </c>
      <c r="S35" s="13">
        <f t="shared" si="7"/>
        <v>985.6</v>
      </c>
      <c r="T35" s="11">
        <f t="shared" si="8"/>
        <v>6790.4</v>
      </c>
      <c r="U35" s="2"/>
      <c r="V35" s="3"/>
    </row>
    <row r="36" spans="1:22" x14ac:dyDescent="0.3">
      <c r="A36" s="142">
        <v>33</v>
      </c>
      <c r="B36" s="16">
        <f t="shared" si="9"/>
        <v>33</v>
      </c>
      <c r="C36" s="13">
        <f t="shared" si="17"/>
        <v>2310</v>
      </c>
      <c r="D36" s="12">
        <f t="shared" ref="D36:D53" si="19">B36*$D$3</f>
        <v>5940</v>
      </c>
      <c r="E36" s="13">
        <f t="shared" ref="E36:E53" si="20">B36*$E$3</f>
        <v>924</v>
      </c>
      <c r="F36" s="13">
        <f t="shared" ref="F36:F53" si="21">B36*$F$3</f>
        <v>1815</v>
      </c>
      <c r="G36" s="13">
        <f t="shared" si="10"/>
        <v>2759.0800000000017</v>
      </c>
      <c r="H36" s="13">
        <f t="shared" si="11"/>
        <v>2478.88</v>
      </c>
      <c r="I36" s="13">
        <f t="shared" si="12"/>
        <v>2313.75</v>
      </c>
      <c r="J36" s="13">
        <f t="shared" si="13"/>
        <v>2231.25</v>
      </c>
      <c r="K36" s="13">
        <f t="shared" si="14"/>
        <v>2232.5</v>
      </c>
      <c r="L36" s="13">
        <f t="shared" si="15"/>
        <v>2165.44</v>
      </c>
      <c r="M36" s="13">
        <f t="shared" si="16"/>
        <v>3547.5</v>
      </c>
      <c r="N36" s="13">
        <f t="shared" si="4"/>
        <v>2541</v>
      </c>
      <c r="O36" s="12">
        <f t="shared" ref="O36:O53" si="22">D36 + $O$3*D36</f>
        <v>8019</v>
      </c>
      <c r="P36" s="13">
        <f t="shared" ref="P36:P53" si="23">E36 + $P$3*E36</f>
        <v>1016.4</v>
      </c>
      <c r="Q36" s="13">
        <f t="shared" ref="Q36:Q53" si="24">F36 + $Q$3*F36</f>
        <v>1996.5</v>
      </c>
      <c r="R36" s="13">
        <f t="shared" si="6"/>
        <v>8019</v>
      </c>
      <c r="S36" s="13">
        <f t="shared" si="7"/>
        <v>1016.4</v>
      </c>
      <c r="T36" s="11">
        <f t="shared" si="8"/>
        <v>7002.6</v>
      </c>
      <c r="U36" s="2"/>
      <c r="V36" s="3"/>
    </row>
    <row r="37" spans="1:22" x14ac:dyDescent="0.3">
      <c r="A37" s="142">
        <v>34</v>
      </c>
      <c r="B37" s="16">
        <f t="shared" si="9"/>
        <v>34</v>
      </c>
      <c r="C37" s="13">
        <f t="shared" si="17"/>
        <v>2380</v>
      </c>
      <c r="D37" s="12">
        <f t="shared" si="19"/>
        <v>6120</v>
      </c>
      <c r="E37" s="13">
        <f t="shared" si="20"/>
        <v>952</v>
      </c>
      <c r="F37" s="13">
        <f t="shared" si="21"/>
        <v>1870</v>
      </c>
      <c r="G37" s="13">
        <f t="shared" si="10"/>
        <v>2842.840000000002</v>
      </c>
      <c r="H37" s="13">
        <f t="shared" si="11"/>
        <v>2553.88</v>
      </c>
      <c r="I37" s="13">
        <f t="shared" si="12"/>
        <v>2383.75</v>
      </c>
      <c r="J37" s="13">
        <f t="shared" si="13"/>
        <v>2298.75</v>
      </c>
      <c r="K37" s="13">
        <f t="shared" si="14"/>
        <v>2300</v>
      </c>
      <c r="L37" s="13">
        <f t="shared" si="15"/>
        <v>2230.94</v>
      </c>
      <c r="M37" s="13">
        <f t="shared" si="16"/>
        <v>3655</v>
      </c>
      <c r="N37" s="13">
        <f t="shared" si="4"/>
        <v>2618</v>
      </c>
      <c r="O37" s="12">
        <f t="shared" si="22"/>
        <v>8262</v>
      </c>
      <c r="P37" s="13">
        <f t="shared" si="23"/>
        <v>1047.2</v>
      </c>
      <c r="Q37" s="13">
        <f t="shared" si="24"/>
        <v>2057</v>
      </c>
      <c r="R37" s="13">
        <f t="shared" ref="R37:R53" si="25">MAX(N37, O37, G37:Q37)</f>
        <v>8262</v>
      </c>
      <c r="S37" s="13">
        <f t="shared" ref="S37:S53" si="26">MIN(N37, O37, G37:Q37)</f>
        <v>1047.2</v>
      </c>
      <c r="T37" s="11">
        <f t="shared" si="8"/>
        <v>7214.8</v>
      </c>
      <c r="U37" s="2"/>
      <c r="V37" s="3"/>
    </row>
    <row r="38" spans="1:22" x14ac:dyDescent="0.3">
      <c r="A38" s="142">
        <v>35</v>
      </c>
      <c r="B38" s="16">
        <f t="shared" si="9"/>
        <v>35</v>
      </c>
      <c r="C38" s="13">
        <f t="shared" si="17"/>
        <v>2450</v>
      </c>
      <c r="D38" s="12">
        <f t="shared" si="19"/>
        <v>6300</v>
      </c>
      <c r="E38" s="13">
        <f t="shared" si="20"/>
        <v>980</v>
      </c>
      <c r="F38" s="13">
        <f t="shared" si="21"/>
        <v>1925</v>
      </c>
      <c r="G38" s="13">
        <f t="shared" si="10"/>
        <v>2926.6000000000022</v>
      </c>
      <c r="H38" s="13">
        <f t="shared" si="11"/>
        <v>2628.88</v>
      </c>
      <c r="I38" s="13">
        <f t="shared" si="12"/>
        <v>2453.75</v>
      </c>
      <c r="J38" s="13">
        <f t="shared" si="13"/>
        <v>2366.25</v>
      </c>
      <c r="K38" s="13">
        <f t="shared" si="14"/>
        <v>2367.5</v>
      </c>
      <c r="L38" s="13">
        <f t="shared" si="15"/>
        <v>2296.44</v>
      </c>
      <c r="M38" s="13">
        <f t="shared" si="16"/>
        <v>3762.5</v>
      </c>
      <c r="N38" s="13">
        <f t="shared" si="4"/>
        <v>2695</v>
      </c>
      <c r="O38" s="12">
        <f t="shared" si="22"/>
        <v>8505</v>
      </c>
      <c r="P38" s="13">
        <f t="shared" si="23"/>
        <v>1078</v>
      </c>
      <c r="Q38" s="13">
        <f t="shared" si="24"/>
        <v>2117.5</v>
      </c>
      <c r="R38" s="13">
        <f t="shared" si="25"/>
        <v>8505</v>
      </c>
      <c r="S38" s="13">
        <f t="shared" si="26"/>
        <v>1078</v>
      </c>
      <c r="T38" s="11">
        <f t="shared" si="8"/>
        <v>7427</v>
      </c>
      <c r="U38" s="2"/>
      <c r="V38" s="3"/>
    </row>
    <row r="39" spans="1:22" x14ac:dyDescent="0.3">
      <c r="A39" s="142">
        <v>36</v>
      </c>
      <c r="B39" s="16">
        <f t="shared" si="9"/>
        <v>36</v>
      </c>
      <c r="C39" s="13">
        <f t="shared" si="17"/>
        <v>2520</v>
      </c>
      <c r="D39" s="12">
        <f t="shared" si="19"/>
        <v>6480</v>
      </c>
      <c r="E39" s="13">
        <f t="shared" si="20"/>
        <v>1008</v>
      </c>
      <c r="F39" s="13">
        <f t="shared" si="21"/>
        <v>1980</v>
      </c>
      <c r="G39" s="13">
        <f t="shared" si="10"/>
        <v>3010.3600000000024</v>
      </c>
      <c r="H39" s="13">
        <f t="shared" si="11"/>
        <v>2703.88</v>
      </c>
      <c r="I39" s="13">
        <f t="shared" si="12"/>
        <v>2523.75</v>
      </c>
      <c r="J39" s="13">
        <f t="shared" si="13"/>
        <v>2433.75</v>
      </c>
      <c r="K39" s="13">
        <f t="shared" si="14"/>
        <v>2435</v>
      </c>
      <c r="L39" s="13">
        <f t="shared" si="15"/>
        <v>2361.94</v>
      </c>
      <c r="M39" s="13">
        <f t="shared" si="16"/>
        <v>3870</v>
      </c>
      <c r="N39" s="13">
        <f t="shared" si="4"/>
        <v>2772</v>
      </c>
      <c r="O39" s="12">
        <f t="shared" si="22"/>
        <v>8748</v>
      </c>
      <c r="P39" s="13">
        <f t="shared" si="23"/>
        <v>1108.8</v>
      </c>
      <c r="Q39" s="13">
        <f t="shared" si="24"/>
        <v>2178</v>
      </c>
      <c r="R39" s="13">
        <f t="shared" si="25"/>
        <v>8748</v>
      </c>
      <c r="S39" s="13">
        <f t="shared" si="26"/>
        <v>1108.8</v>
      </c>
      <c r="T39" s="11">
        <f t="shared" si="8"/>
        <v>7639.2</v>
      </c>
      <c r="U39" s="2"/>
      <c r="V39" s="3"/>
    </row>
    <row r="40" spans="1:22" x14ac:dyDescent="0.3">
      <c r="A40" s="142">
        <v>37</v>
      </c>
      <c r="B40" s="16">
        <f t="shared" si="9"/>
        <v>37</v>
      </c>
      <c r="C40" s="13">
        <f t="shared" si="17"/>
        <v>2590</v>
      </c>
      <c r="D40" s="12">
        <f t="shared" si="19"/>
        <v>6660</v>
      </c>
      <c r="E40" s="13">
        <f t="shared" si="20"/>
        <v>1036</v>
      </c>
      <c r="F40" s="13">
        <f t="shared" si="21"/>
        <v>2035</v>
      </c>
      <c r="G40" s="13">
        <f t="shared" si="10"/>
        <v>3094.1200000000026</v>
      </c>
      <c r="H40" s="13">
        <f t="shared" si="11"/>
        <v>2778.88</v>
      </c>
      <c r="I40" s="13">
        <f t="shared" si="12"/>
        <v>2593.75</v>
      </c>
      <c r="J40" s="13">
        <f t="shared" si="13"/>
        <v>2501.25</v>
      </c>
      <c r="K40" s="13">
        <f t="shared" si="14"/>
        <v>2502.5</v>
      </c>
      <c r="L40" s="13">
        <f t="shared" si="15"/>
        <v>2427.44</v>
      </c>
      <c r="M40" s="13">
        <f t="shared" si="16"/>
        <v>3977.5</v>
      </c>
      <c r="N40" s="13">
        <f t="shared" si="4"/>
        <v>2849</v>
      </c>
      <c r="O40" s="12">
        <f t="shared" si="22"/>
        <v>8991</v>
      </c>
      <c r="P40" s="13">
        <f t="shared" si="23"/>
        <v>1139.5999999999999</v>
      </c>
      <c r="Q40" s="13">
        <f t="shared" si="24"/>
        <v>2238.5</v>
      </c>
      <c r="R40" s="13">
        <f t="shared" si="25"/>
        <v>8991</v>
      </c>
      <c r="S40" s="13">
        <f t="shared" si="26"/>
        <v>1139.5999999999999</v>
      </c>
      <c r="T40" s="11">
        <f t="shared" si="8"/>
        <v>7851.4</v>
      </c>
      <c r="U40" s="2"/>
      <c r="V40" s="3"/>
    </row>
    <row r="41" spans="1:22" x14ac:dyDescent="0.3">
      <c r="A41" s="142">
        <v>38</v>
      </c>
      <c r="B41" s="16">
        <f t="shared" si="9"/>
        <v>38</v>
      </c>
      <c r="C41" s="13">
        <f t="shared" si="17"/>
        <v>2660</v>
      </c>
      <c r="D41" s="12">
        <f t="shared" si="19"/>
        <v>6840</v>
      </c>
      <c r="E41" s="13">
        <f t="shared" si="20"/>
        <v>1064</v>
      </c>
      <c r="F41" s="13">
        <f t="shared" si="21"/>
        <v>2090</v>
      </c>
      <c r="G41" s="13">
        <f t="shared" si="10"/>
        <v>3177.8800000000028</v>
      </c>
      <c r="H41" s="13">
        <f t="shared" si="11"/>
        <v>2853.88</v>
      </c>
      <c r="I41" s="13">
        <f t="shared" si="12"/>
        <v>2663.75</v>
      </c>
      <c r="J41" s="13">
        <f t="shared" si="13"/>
        <v>2568.75</v>
      </c>
      <c r="K41" s="13">
        <f t="shared" si="14"/>
        <v>2570</v>
      </c>
      <c r="L41" s="13">
        <f t="shared" si="15"/>
        <v>2492.94</v>
      </c>
      <c r="M41" s="13">
        <f t="shared" si="16"/>
        <v>4085</v>
      </c>
      <c r="N41" s="13">
        <f t="shared" si="4"/>
        <v>2926</v>
      </c>
      <c r="O41" s="12">
        <f t="shared" si="22"/>
        <v>9234</v>
      </c>
      <c r="P41" s="13">
        <f t="shared" si="23"/>
        <v>1170.4000000000001</v>
      </c>
      <c r="Q41" s="13">
        <f t="shared" si="24"/>
        <v>2299</v>
      </c>
      <c r="R41" s="13">
        <f t="shared" si="25"/>
        <v>9234</v>
      </c>
      <c r="S41" s="13">
        <f t="shared" si="26"/>
        <v>1170.4000000000001</v>
      </c>
      <c r="T41" s="11">
        <f t="shared" si="8"/>
        <v>8063.6</v>
      </c>
      <c r="U41" s="2"/>
      <c r="V41" s="3"/>
    </row>
    <row r="42" spans="1:22" x14ac:dyDescent="0.3">
      <c r="A42" s="142">
        <v>39</v>
      </c>
      <c r="B42" s="16">
        <f t="shared" si="9"/>
        <v>39</v>
      </c>
      <c r="C42" s="13">
        <f t="shared" si="17"/>
        <v>2730</v>
      </c>
      <c r="D42" s="12">
        <f t="shared" si="19"/>
        <v>7020</v>
      </c>
      <c r="E42" s="13">
        <f t="shared" si="20"/>
        <v>1092</v>
      </c>
      <c r="F42" s="13">
        <f t="shared" si="21"/>
        <v>2145</v>
      </c>
      <c r="G42" s="13">
        <f t="shared" si="10"/>
        <v>3261.6400000000031</v>
      </c>
      <c r="H42" s="13">
        <f t="shared" si="11"/>
        <v>2928.88</v>
      </c>
      <c r="I42" s="13">
        <f t="shared" si="12"/>
        <v>2733.75</v>
      </c>
      <c r="J42" s="13">
        <f t="shared" si="13"/>
        <v>2636.25</v>
      </c>
      <c r="K42" s="13">
        <f t="shared" si="14"/>
        <v>2637.5</v>
      </c>
      <c r="L42" s="13">
        <f t="shared" si="15"/>
        <v>2558.44</v>
      </c>
      <c r="M42" s="13">
        <f t="shared" si="16"/>
        <v>4192.5</v>
      </c>
      <c r="N42" s="13">
        <f t="shared" si="4"/>
        <v>3003</v>
      </c>
      <c r="O42" s="12">
        <f t="shared" si="22"/>
        <v>9477</v>
      </c>
      <c r="P42" s="13">
        <f t="shared" si="23"/>
        <v>1201.2</v>
      </c>
      <c r="Q42" s="13">
        <f t="shared" si="24"/>
        <v>2359.5</v>
      </c>
      <c r="R42" s="13">
        <f t="shared" si="25"/>
        <v>9477</v>
      </c>
      <c r="S42" s="13">
        <f t="shared" si="26"/>
        <v>1201.2</v>
      </c>
      <c r="T42" s="11">
        <f t="shared" si="8"/>
        <v>8275.7999999999993</v>
      </c>
      <c r="U42" s="2"/>
      <c r="V42" s="3"/>
    </row>
    <row r="43" spans="1:22" x14ac:dyDescent="0.3">
      <c r="A43" s="142">
        <v>40</v>
      </c>
      <c r="B43" s="16">
        <f t="shared" si="9"/>
        <v>40</v>
      </c>
      <c r="C43" s="13">
        <f t="shared" si="17"/>
        <v>2800</v>
      </c>
      <c r="D43" s="12">
        <f t="shared" si="19"/>
        <v>7200</v>
      </c>
      <c r="E43" s="13">
        <f t="shared" si="20"/>
        <v>1120</v>
      </c>
      <c r="F43" s="13">
        <f t="shared" si="21"/>
        <v>2200</v>
      </c>
      <c r="G43" s="13">
        <f t="shared" si="10"/>
        <v>3345.4000000000033</v>
      </c>
      <c r="H43" s="13">
        <f t="shared" si="11"/>
        <v>3003.88</v>
      </c>
      <c r="I43" s="13">
        <f t="shared" si="12"/>
        <v>2803.75</v>
      </c>
      <c r="J43" s="13">
        <f t="shared" si="13"/>
        <v>2703.75</v>
      </c>
      <c r="K43" s="13">
        <f t="shared" si="14"/>
        <v>2705</v>
      </c>
      <c r="L43" s="13">
        <f t="shared" si="15"/>
        <v>2623.94</v>
      </c>
      <c r="M43" s="13">
        <f t="shared" si="16"/>
        <v>4300</v>
      </c>
      <c r="N43" s="13">
        <f t="shared" si="4"/>
        <v>3080</v>
      </c>
      <c r="O43" s="12">
        <f t="shared" si="22"/>
        <v>9720</v>
      </c>
      <c r="P43" s="13">
        <f t="shared" si="23"/>
        <v>1232</v>
      </c>
      <c r="Q43" s="13">
        <f t="shared" si="24"/>
        <v>2420</v>
      </c>
      <c r="R43" s="13">
        <f t="shared" si="25"/>
        <v>9720</v>
      </c>
      <c r="S43" s="13">
        <f t="shared" si="26"/>
        <v>1232</v>
      </c>
      <c r="T43" s="11">
        <f t="shared" si="8"/>
        <v>8488</v>
      </c>
      <c r="U43" s="2"/>
      <c r="V43" s="3"/>
    </row>
    <row r="44" spans="1:22" x14ac:dyDescent="0.3">
      <c r="A44" s="142">
        <v>41</v>
      </c>
      <c r="B44" s="16">
        <f t="shared" si="9"/>
        <v>41</v>
      </c>
      <c r="C44" s="13">
        <f t="shared" si="17"/>
        <v>2870</v>
      </c>
      <c r="D44" s="12">
        <f t="shared" si="19"/>
        <v>7380</v>
      </c>
      <c r="E44" s="13">
        <f t="shared" si="20"/>
        <v>1148</v>
      </c>
      <c r="F44" s="13">
        <f t="shared" si="21"/>
        <v>2255</v>
      </c>
      <c r="G44" s="13">
        <f t="shared" si="10"/>
        <v>3429.1600000000035</v>
      </c>
      <c r="H44" s="13">
        <f t="shared" si="11"/>
        <v>3078.88</v>
      </c>
      <c r="I44" s="13">
        <f t="shared" si="12"/>
        <v>2873.75</v>
      </c>
      <c r="J44" s="13">
        <f t="shared" si="13"/>
        <v>2771.25</v>
      </c>
      <c r="K44" s="13">
        <f t="shared" si="14"/>
        <v>2772.5</v>
      </c>
      <c r="L44" s="13">
        <f t="shared" si="15"/>
        <v>2689.44</v>
      </c>
      <c r="M44" s="13">
        <f t="shared" si="16"/>
        <v>4407.5</v>
      </c>
      <c r="N44" s="13">
        <f t="shared" si="4"/>
        <v>3157</v>
      </c>
      <c r="O44" s="12">
        <f t="shared" si="22"/>
        <v>9963</v>
      </c>
      <c r="P44" s="13">
        <f t="shared" si="23"/>
        <v>1262.8</v>
      </c>
      <c r="Q44" s="13">
        <f t="shared" si="24"/>
        <v>2480.5</v>
      </c>
      <c r="R44" s="13">
        <f t="shared" si="25"/>
        <v>9963</v>
      </c>
      <c r="S44" s="13">
        <f t="shared" si="26"/>
        <v>1262.8</v>
      </c>
      <c r="T44" s="11">
        <f t="shared" si="8"/>
        <v>8700.2000000000007</v>
      </c>
      <c r="U44" s="2"/>
      <c r="V44" s="3"/>
    </row>
    <row r="45" spans="1:22" x14ac:dyDescent="0.3">
      <c r="A45" s="142">
        <v>42</v>
      </c>
      <c r="B45" s="16">
        <f t="shared" si="9"/>
        <v>42</v>
      </c>
      <c r="C45" s="13">
        <f t="shared" si="17"/>
        <v>2940</v>
      </c>
      <c r="D45" s="12">
        <f t="shared" si="19"/>
        <v>7560</v>
      </c>
      <c r="E45" s="13">
        <f t="shared" si="20"/>
        <v>1176</v>
      </c>
      <c r="F45" s="13">
        <f t="shared" si="21"/>
        <v>2310</v>
      </c>
      <c r="G45" s="13">
        <f t="shared" si="10"/>
        <v>3512.9200000000037</v>
      </c>
      <c r="H45" s="13">
        <f t="shared" si="11"/>
        <v>3153.88</v>
      </c>
      <c r="I45" s="13">
        <f t="shared" si="12"/>
        <v>2943.75</v>
      </c>
      <c r="J45" s="13">
        <f t="shared" si="13"/>
        <v>2838.75</v>
      </c>
      <c r="K45" s="13">
        <f t="shared" si="14"/>
        <v>2840</v>
      </c>
      <c r="L45" s="13">
        <f t="shared" si="15"/>
        <v>2754.94</v>
      </c>
      <c r="M45" s="13">
        <f t="shared" si="16"/>
        <v>4515</v>
      </c>
      <c r="N45" s="13">
        <f t="shared" si="4"/>
        <v>3234</v>
      </c>
      <c r="O45" s="12">
        <f t="shared" si="22"/>
        <v>10206</v>
      </c>
      <c r="P45" s="13">
        <f t="shared" si="23"/>
        <v>1293.5999999999999</v>
      </c>
      <c r="Q45" s="13">
        <f t="shared" si="24"/>
        <v>2541</v>
      </c>
      <c r="R45" s="13">
        <f t="shared" si="25"/>
        <v>10206</v>
      </c>
      <c r="S45" s="13">
        <f t="shared" si="26"/>
        <v>1293.5999999999999</v>
      </c>
      <c r="T45" s="11">
        <f t="shared" si="8"/>
        <v>8912.4</v>
      </c>
      <c r="U45" s="2"/>
      <c r="V45" s="3"/>
    </row>
    <row r="46" spans="1:22" x14ac:dyDescent="0.3">
      <c r="A46" s="142">
        <v>43</v>
      </c>
      <c r="B46" s="16">
        <f t="shared" si="9"/>
        <v>43</v>
      </c>
      <c r="C46" s="13">
        <f t="shared" si="17"/>
        <v>3010</v>
      </c>
      <c r="D46" s="12">
        <f t="shared" si="19"/>
        <v>7740</v>
      </c>
      <c r="E46" s="13">
        <f t="shared" si="20"/>
        <v>1204</v>
      </c>
      <c r="F46" s="13">
        <f t="shared" si="21"/>
        <v>2365</v>
      </c>
      <c r="G46" s="13">
        <f t="shared" si="10"/>
        <v>3596.6800000000039</v>
      </c>
      <c r="H46" s="13">
        <f t="shared" si="11"/>
        <v>3228.88</v>
      </c>
      <c r="I46" s="13">
        <f t="shared" si="12"/>
        <v>3013.75</v>
      </c>
      <c r="J46" s="13">
        <f t="shared" si="13"/>
        <v>2906.25</v>
      </c>
      <c r="K46" s="13">
        <f t="shared" si="14"/>
        <v>2907.5</v>
      </c>
      <c r="L46" s="13">
        <f t="shared" si="15"/>
        <v>2820.44</v>
      </c>
      <c r="M46" s="13">
        <f t="shared" si="16"/>
        <v>4622.5</v>
      </c>
      <c r="N46" s="13">
        <f t="shared" si="4"/>
        <v>3311</v>
      </c>
      <c r="O46" s="12">
        <f t="shared" si="22"/>
        <v>10449</v>
      </c>
      <c r="P46" s="13">
        <f t="shared" si="23"/>
        <v>1324.4</v>
      </c>
      <c r="Q46" s="13">
        <f t="shared" si="24"/>
        <v>2601.5</v>
      </c>
      <c r="R46" s="13">
        <f t="shared" si="25"/>
        <v>10449</v>
      </c>
      <c r="S46" s="13">
        <f t="shared" si="26"/>
        <v>1324.4</v>
      </c>
      <c r="T46" s="11">
        <f t="shared" si="8"/>
        <v>9124.6</v>
      </c>
      <c r="U46" s="2"/>
      <c r="V46" s="3"/>
    </row>
    <row r="47" spans="1:22" x14ac:dyDescent="0.3">
      <c r="A47" s="142">
        <v>44</v>
      </c>
      <c r="B47" s="16">
        <f t="shared" si="9"/>
        <v>44</v>
      </c>
      <c r="C47" s="13">
        <f t="shared" si="17"/>
        <v>3080</v>
      </c>
      <c r="D47" s="12">
        <f t="shared" si="19"/>
        <v>7920</v>
      </c>
      <c r="E47" s="13">
        <f t="shared" si="20"/>
        <v>1232</v>
      </c>
      <c r="F47" s="13">
        <f t="shared" si="21"/>
        <v>2420</v>
      </c>
      <c r="G47" s="13">
        <f t="shared" si="10"/>
        <v>3680.4400000000041</v>
      </c>
      <c r="H47" s="13">
        <f t="shared" si="11"/>
        <v>3303.88</v>
      </c>
      <c r="I47" s="13">
        <f t="shared" si="12"/>
        <v>3083.75</v>
      </c>
      <c r="J47" s="13">
        <f t="shared" si="13"/>
        <v>2973.75</v>
      </c>
      <c r="K47" s="13">
        <f t="shared" si="14"/>
        <v>2975</v>
      </c>
      <c r="L47" s="13">
        <f t="shared" si="15"/>
        <v>2885.94</v>
      </c>
      <c r="M47" s="13">
        <f t="shared" si="16"/>
        <v>4730</v>
      </c>
      <c r="N47" s="13">
        <f t="shared" si="4"/>
        <v>3388</v>
      </c>
      <c r="O47" s="12">
        <f t="shared" si="22"/>
        <v>10692</v>
      </c>
      <c r="P47" s="13">
        <f t="shared" si="23"/>
        <v>1355.2</v>
      </c>
      <c r="Q47" s="13">
        <f t="shared" si="24"/>
        <v>2662</v>
      </c>
      <c r="R47" s="13">
        <f t="shared" si="25"/>
        <v>10692</v>
      </c>
      <c r="S47" s="13">
        <f t="shared" si="26"/>
        <v>1355.2</v>
      </c>
      <c r="T47" s="11">
        <f t="shared" si="8"/>
        <v>9336.7999999999993</v>
      </c>
      <c r="U47" s="2"/>
      <c r="V47" s="3"/>
    </row>
    <row r="48" spans="1:22" x14ac:dyDescent="0.3">
      <c r="A48" s="142">
        <v>45</v>
      </c>
      <c r="B48" s="16">
        <f t="shared" si="9"/>
        <v>45</v>
      </c>
      <c r="C48" s="13">
        <f t="shared" si="17"/>
        <v>3150</v>
      </c>
      <c r="D48" s="12">
        <f t="shared" si="19"/>
        <v>8100</v>
      </c>
      <c r="E48" s="13">
        <f t="shared" si="20"/>
        <v>1260</v>
      </c>
      <c r="F48" s="13">
        <f t="shared" si="21"/>
        <v>2475</v>
      </c>
      <c r="G48" s="13">
        <f t="shared" si="10"/>
        <v>3764.2000000000044</v>
      </c>
      <c r="H48" s="13">
        <f t="shared" si="11"/>
        <v>3378.88</v>
      </c>
      <c r="I48" s="13">
        <f t="shared" si="12"/>
        <v>3153.75</v>
      </c>
      <c r="J48" s="13">
        <f t="shared" si="13"/>
        <v>3041.25</v>
      </c>
      <c r="K48" s="13">
        <f t="shared" si="14"/>
        <v>3042.5</v>
      </c>
      <c r="L48" s="13">
        <f t="shared" si="15"/>
        <v>2951.44</v>
      </c>
      <c r="M48" s="13">
        <f t="shared" si="16"/>
        <v>4837.5</v>
      </c>
      <c r="N48" s="13">
        <f t="shared" si="4"/>
        <v>3465</v>
      </c>
      <c r="O48" s="12">
        <f t="shared" si="22"/>
        <v>10935</v>
      </c>
      <c r="P48" s="13">
        <f t="shared" si="23"/>
        <v>1386</v>
      </c>
      <c r="Q48" s="13">
        <f t="shared" si="24"/>
        <v>2722.5</v>
      </c>
      <c r="R48" s="13">
        <f t="shared" si="25"/>
        <v>10935</v>
      </c>
      <c r="S48" s="13">
        <f t="shared" si="26"/>
        <v>1386</v>
      </c>
      <c r="T48" s="11">
        <f t="shared" si="8"/>
        <v>9549</v>
      </c>
      <c r="U48" s="2"/>
      <c r="V48" s="3"/>
    </row>
    <row r="49" spans="1:22" x14ac:dyDescent="0.3">
      <c r="A49" s="142">
        <v>46</v>
      </c>
      <c r="B49" s="16">
        <f t="shared" si="9"/>
        <v>46</v>
      </c>
      <c r="C49" s="13">
        <f t="shared" si="17"/>
        <v>3220</v>
      </c>
      <c r="D49" s="12">
        <f t="shared" si="19"/>
        <v>8280</v>
      </c>
      <c r="E49" s="13">
        <f t="shared" si="20"/>
        <v>1288</v>
      </c>
      <c r="F49" s="13">
        <f t="shared" si="21"/>
        <v>2530</v>
      </c>
      <c r="G49" s="13">
        <f t="shared" si="10"/>
        <v>3847.9600000000046</v>
      </c>
      <c r="H49" s="13">
        <f t="shared" si="11"/>
        <v>3453.88</v>
      </c>
      <c r="I49" s="13">
        <f t="shared" si="12"/>
        <v>3223.75</v>
      </c>
      <c r="J49" s="13">
        <f t="shared" si="13"/>
        <v>3108.75</v>
      </c>
      <c r="K49" s="13">
        <f t="shared" si="14"/>
        <v>3110</v>
      </c>
      <c r="L49" s="13">
        <f t="shared" si="15"/>
        <v>3016.94</v>
      </c>
      <c r="M49" s="13">
        <f t="shared" si="16"/>
        <v>4945</v>
      </c>
      <c r="N49" s="13">
        <f t="shared" si="4"/>
        <v>3542</v>
      </c>
      <c r="O49" s="12">
        <f t="shared" si="22"/>
        <v>11178</v>
      </c>
      <c r="P49" s="13">
        <f t="shared" si="23"/>
        <v>1416.8</v>
      </c>
      <c r="Q49" s="13">
        <f t="shared" si="24"/>
        <v>2783</v>
      </c>
      <c r="R49" s="13">
        <f t="shared" si="25"/>
        <v>11178</v>
      </c>
      <c r="S49" s="13">
        <f t="shared" si="26"/>
        <v>1416.8</v>
      </c>
      <c r="T49" s="11">
        <f t="shared" si="8"/>
        <v>9761.2000000000007</v>
      </c>
      <c r="U49" s="2"/>
      <c r="V49" s="3"/>
    </row>
    <row r="50" spans="1:22" x14ac:dyDescent="0.3">
      <c r="A50" s="142">
        <v>47</v>
      </c>
      <c r="B50" s="16">
        <f t="shared" si="9"/>
        <v>47</v>
      </c>
      <c r="C50" s="13">
        <f t="shared" si="17"/>
        <v>3290</v>
      </c>
      <c r="D50" s="12">
        <f t="shared" si="19"/>
        <v>8460</v>
      </c>
      <c r="E50" s="13">
        <f t="shared" si="20"/>
        <v>1316</v>
      </c>
      <c r="F50" s="13">
        <f t="shared" si="21"/>
        <v>2585</v>
      </c>
      <c r="G50" s="13">
        <f t="shared" si="10"/>
        <v>3931.7200000000048</v>
      </c>
      <c r="H50" s="13">
        <f t="shared" si="11"/>
        <v>3528.88</v>
      </c>
      <c r="I50" s="13">
        <f t="shared" si="12"/>
        <v>3293.75</v>
      </c>
      <c r="J50" s="13">
        <f t="shared" si="13"/>
        <v>3176.25</v>
      </c>
      <c r="K50" s="13">
        <f t="shared" si="14"/>
        <v>3177.5</v>
      </c>
      <c r="L50" s="13">
        <f t="shared" si="15"/>
        <v>3082.44</v>
      </c>
      <c r="M50" s="13">
        <f t="shared" si="16"/>
        <v>5052.5</v>
      </c>
      <c r="N50" s="13">
        <f t="shared" si="4"/>
        <v>3619</v>
      </c>
      <c r="O50" s="12">
        <f t="shared" si="22"/>
        <v>11421</v>
      </c>
      <c r="P50" s="13">
        <f t="shared" si="23"/>
        <v>1447.6</v>
      </c>
      <c r="Q50" s="13">
        <f t="shared" si="24"/>
        <v>2843.5</v>
      </c>
      <c r="R50" s="13">
        <f t="shared" si="25"/>
        <v>11421</v>
      </c>
      <c r="S50" s="13">
        <f t="shared" si="26"/>
        <v>1447.6</v>
      </c>
      <c r="T50" s="11">
        <f t="shared" si="8"/>
        <v>9973.4</v>
      </c>
      <c r="U50" s="2"/>
      <c r="V50" s="3"/>
    </row>
    <row r="51" spans="1:22" x14ac:dyDescent="0.3">
      <c r="A51" s="142">
        <v>48</v>
      </c>
      <c r="B51" s="16">
        <f t="shared" si="9"/>
        <v>48</v>
      </c>
      <c r="C51" s="13">
        <f t="shared" si="17"/>
        <v>3360</v>
      </c>
      <c r="D51" s="12">
        <f t="shared" si="19"/>
        <v>8640</v>
      </c>
      <c r="E51" s="13">
        <f t="shared" si="20"/>
        <v>1344</v>
      </c>
      <c r="F51" s="13">
        <f t="shared" si="21"/>
        <v>2640</v>
      </c>
      <c r="G51" s="13">
        <f t="shared" si="10"/>
        <v>4015.480000000005</v>
      </c>
      <c r="H51" s="13">
        <f t="shared" si="11"/>
        <v>3603.88</v>
      </c>
      <c r="I51" s="13">
        <f t="shared" si="12"/>
        <v>3363.75</v>
      </c>
      <c r="J51" s="13">
        <f t="shared" si="13"/>
        <v>3243.75</v>
      </c>
      <c r="K51" s="13">
        <f t="shared" si="14"/>
        <v>3245</v>
      </c>
      <c r="L51" s="13">
        <f t="shared" si="15"/>
        <v>3147.94</v>
      </c>
      <c r="M51" s="13">
        <f t="shared" si="16"/>
        <v>5160</v>
      </c>
      <c r="N51" s="13">
        <f t="shared" si="4"/>
        <v>3696</v>
      </c>
      <c r="O51" s="12">
        <f t="shared" si="22"/>
        <v>11664</v>
      </c>
      <c r="P51" s="13">
        <f t="shared" si="23"/>
        <v>1478.4</v>
      </c>
      <c r="Q51" s="13">
        <f t="shared" si="24"/>
        <v>2904</v>
      </c>
      <c r="R51" s="13">
        <f t="shared" si="25"/>
        <v>11664</v>
      </c>
      <c r="S51" s="13">
        <f t="shared" si="26"/>
        <v>1478.4</v>
      </c>
      <c r="T51" s="11">
        <f t="shared" si="8"/>
        <v>10185.6</v>
      </c>
      <c r="U51" s="2"/>
      <c r="V51" s="3"/>
    </row>
    <row r="52" spans="1:22" x14ac:dyDescent="0.3">
      <c r="A52" s="142">
        <v>49</v>
      </c>
      <c r="B52" s="16">
        <f t="shared" si="9"/>
        <v>49</v>
      </c>
      <c r="C52" s="13">
        <f t="shared" si="17"/>
        <v>3430</v>
      </c>
      <c r="D52" s="12">
        <f t="shared" si="19"/>
        <v>8820</v>
      </c>
      <c r="E52" s="13">
        <f t="shared" si="20"/>
        <v>1372</v>
      </c>
      <c r="F52" s="13">
        <f t="shared" si="21"/>
        <v>2695</v>
      </c>
      <c r="G52" s="13">
        <f t="shared" si="10"/>
        <v>4099.2400000000052</v>
      </c>
      <c r="H52" s="13">
        <f t="shared" si="11"/>
        <v>3678.88</v>
      </c>
      <c r="I52" s="13">
        <f t="shared" si="12"/>
        <v>3433.75</v>
      </c>
      <c r="J52" s="13">
        <f t="shared" si="13"/>
        <v>3311.25</v>
      </c>
      <c r="K52" s="13">
        <f t="shared" si="14"/>
        <v>3312.5</v>
      </c>
      <c r="L52" s="13">
        <f t="shared" si="15"/>
        <v>3213.44</v>
      </c>
      <c r="M52" s="13">
        <f t="shared" si="16"/>
        <v>5267.5</v>
      </c>
      <c r="N52" s="13">
        <f t="shared" si="4"/>
        <v>3773</v>
      </c>
      <c r="O52" s="12">
        <f t="shared" si="22"/>
        <v>11907</v>
      </c>
      <c r="P52" s="13">
        <f t="shared" si="23"/>
        <v>1509.2</v>
      </c>
      <c r="Q52" s="13">
        <f t="shared" si="24"/>
        <v>2964.5</v>
      </c>
      <c r="R52" s="13">
        <f t="shared" si="25"/>
        <v>11907</v>
      </c>
      <c r="S52" s="13">
        <f t="shared" si="26"/>
        <v>1509.2</v>
      </c>
      <c r="T52" s="11">
        <f t="shared" si="8"/>
        <v>10397.799999999999</v>
      </c>
      <c r="U52" s="2"/>
      <c r="V52" s="3"/>
    </row>
    <row r="53" spans="1:22" ht="15" thickBot="1" x14ac:dyDescent="0.35">
      <c r="A53" s="143">
        <v>50</v>
      </c>
      <c r="B53" s="144">
        <f t="shared" si="9"/>
        <v>50</v>
      </c>
      <c r="C53" s="146">
        <f t="shared" si="17"/>
        <v>3500</v>
      </c>
      <c r="D53" s="145">
        <f t="shared" si="19"/>
        <v>9000</v>
      </c>
      <c r="E53" s="146">
        <f t="shared" si="20"/>
        <v>1400</v>
      </c>
      <c r="F53" s="146">
        <f t="shared" si="21"/>
        <v>2750</v>
      </c>
      <c r="G53" s="146">
        <f t="shared" si="10"/>
        <v>4183.0000000000055</v>
      </c>
      <c r="H53" s="146">
        <f t="shared" si="11"/>
        <v>3753.88</v>
      </c>
      <c r="I53" s="146">
        <f t="shared" si="12"/>
        <v>3503.75</v>
      </c>
      <c r="J53" s="146">
        <f t="shared" si="13"/>
        <v>3378.75</v>
      </c>
      <c r="K53" s="146">
        <f t="shared" si="14"/>
        <v>3380</v>
      </c>
      <c r="L53" s="146">
        <f t="shared" si="15"/>
        <v>3278.94</v>
      </c>
      <c r="M53" s="146">
        <f t="shared" si="16"/>
        <v>5375</v>
      </c>
      <c r="N53" s="146">
        <f t="shared" si="4"/>
        <v>3850</v>
      </c>
      <c r="O53" s="145">
        <f t="shared" si="22"/>
        <v>12150</v>
      </c>
      <c r="P53" s="146">
        <f t="shared" si="23"/>
        <v>1540</v>
      </c>
      <c r="Q53" s="146">
        <f t="shared" si="24"/>
        <v>3025</v>
      </c>
      <c r="R53" s="146">
        <f t="shared" si="25"/>
        <v>12150</v>
      </c>
      <c r="S53" s="146">
        <f t="shared" si="26"/>
        <v>1540</v>
      </c>
      <c r="T53" s="38">
        <f t="shared" si="8"/>
        <v>10610</v>
      </c>
      <c r="U53" s="6"/>
      <c r="V53" s="7"/>
    </row>
    <row r="54" spans="1:22" x14ac:dyDescent="0.3">
      <c r="A54" s="8"/>
      <c r="B54" s="26"/>
      <c r="C54" s="14"/>
      <c r="D54" s="8"/>
      <c r="E54" s="14"/>
      <c r="F54" s="14"/>
      <c r="G54" s="8"/>
      <c r="H54" s="14"/>
      <c r="I54" s="14"/>
      <c r="J54" s="14"/>
      <c r="K54" s="14"/>
      <c r="L54" s="14"/>
      <c r="M54" s="14"/>
      <c r="N54" s="14"/>
      <c r="O54" s="8"/>
      <c r="P54" s="14"/>
      <c r="Q54" s="14"/>
      <c r="R54" s="14"/>
      <c r="S54" s="14"/>
      <c r="T54" s="10"/>
    </row>
    <row r="55" spans="1:22" x14ac:dyDescent="0.3">
      <c r="A55" s="8"/>
      <c r="B55" s="26"/>
      <c r="C55" s="14"/>
      <c r="D55" s="8"/>
      <c r="E55" s="14"/>
      <c r="F55" s="14"/>
      <c r="G55" s="8"/>
      <c r="H55" s="14"/>
      <c r="I55" s="14"/>
      <c r="J55" s="14"/>
      <c r="K55" s="14"/>
      <c r="L55" s="14"/>
      <c r="M55" s="14"/>
      <c r="N55" s="14"/>
      <c r="O55" s="8"/>
      <c r="P55" s="14"/>
      <c r="Q55" s="14"/>
      <c r="R55" s="14"/>
      <c r="S55" s="14"/>
      <c r="T55" s="10"/>
    </row>
    <row r="56" spans="1:22" x14ac:dyDescent="0.3">
      <c r="A56" s="8"/>
      <c r="B56" s="26"/>
      <c r="C56" s="14"/>
      <c r="D56" s="8"/>
      <c r="E56" s="14"/>
      <c r="F56" s="14"/>
      <c r="G56" s="8"/>
      <c r="H56" s="14"/>
      <c r="I56" s="14"/>
      <c r="J56" s="14"/>
      <c r="K56" s="14"/>
      <c r="L56" s="14"/>
      <c r="M56" s="14"/>
      <c r="N56" s="14"/>
      <c r="O56" s="8"/>
      <c r="P56" s="14"/>
      <c r="Q56" s="14"/>
      <c r="R56" s="14"/>
      <c r="S56" s="14"/>
      <c r="T56" s="10"/>
    </row>
    <row r="57" spans="1:22" x14ac:dyDescent="0.3">
      <c r="A57" s="8"/>
      <c r="B57" s="26"/>
      <c r="C57" s="14"/>
      <c r="D57" s="8"/>
      <c r="E57" s="14"/>
      <c r="F57" s="14"/>
      <c r="G57" s="8"/>
      <c r="H57" s="14"/>
      <c r="I57" s="14"/>
      <c r="J57" s="14"/>
      <c r="K57" s="14"/>
      <c r="L57" s="14"/>
      <c r="M57" s="14"/>
      <c r="N57" s="14"/>
      <c r="O57" s="8"/>
      <c r="P57" s="14"/>
      <c r="Q57" s="14"/>
      <c r="R57" s="14"/>
      <c r="S57" s="14"/>
      <c r="T57" s="10"/>
    </row>
    <row r="58" spans="1:22" x14ac:dyDescent="0.3">
      <c r="A58" s="8"/>
      <c r="B58" s="26"/>
      <c r="C58" s="14"/>
      <c r="D58" s="8"/>
      <c r="E58" s="14"/>
      <c r="F58" s="14"/>
      <c r="G58" s="8"/>
      <c r="H58" s="14"/>
      <c r="I58" s="14"/>
      <c r="J58" s="14"/>
      <c r="K58" s="14"/>
      <c r="L58" s="14"/>
      <c r="M58" s="14"/>
      <c r="N58" s="14"/>
      <c r="O58" s="8"/>
      <c r="P58" s="14"/>
      <c r="Q58" s="14"/>
      <c r="R58" s="14"/>
      <c r="S58" s="14"/>
      <c r="T58" s="10"/>
    </row>
    <row r="59" spans="1:22" x14ac:dyDescent="0.3">
      <c r="A59" s="8"/>
      <c r="B59" s="26"/>
      <c r="C59" s="14"/>
      <c r="D59" s="8"/>
      <c r="E59" s="14"/>
      <c r="F59" s="14"/>
      <c r="G59" s="8"/>
      <c r="H59" s="14"/>
      <c r="I59" s="14"/>
      <c r="J59" s="14"/>
      <c r="K59" s="14"/>
      <c r="L59" s="14"/>
      <c r="M59" s="14"/>
      <c r="N59" s="14"/>
      <c r="O59" s="8"/>
      <c r="P59" s="14"/>
      <c r="Q59" s="14"/>
      <c r="R59" s="14"/>
      <c r="S59" s="14"/>
      <c r="T59" s="10"/>
    </row>
    <row r="60" spans="1:22" x14ac:dyDescent="0.3">
      <c r="A60" s="8"/>
      <c r="B60" s="26"/>
      <c r="C60" s="14"/>
      <c r="D60" s="8"/>
      <c r="E60" s="14"/>
      <c r="F60" s="14"/>
      <c r="G60" s="8"/>
      <c r="H60" s="14"/>
      <c r="I60" s="14"/>
      <c r="J60" s="14"/>
      <c r="K60" s="14"/>
      <c r="L60" s="14"/>
      <c r="M60" s="14"/>
      <c r="N60" s="14"/>
      <c r="O60" s="8"/>
      <c r="P60" s="14"/>
      <c r="Q60" s="14"/>
      <c r="R60" s="14"/>
      <c r="S60" s="14"/>
      <c r="T60" s="10"/>
    </row>
    <row r="61" spans="1:22" x14ac:dyDescent="0.3">
      <c r="A61" s="8"/>
      <c r="B61" s="26"/>
      <c r="C61" s="14"/>
      <c r="D61" s="8"/>
      <c r="E61" s="14"/>
      <c r="F61" s="14"/>
      <c r="G61" s="8"/>
      <c r="H61" s="14"/>
      <c r="I61" s="14"/>
      <c r="J61" s="14"/>
      <c r="K61" s="14"/>
      <c r="L61" s="14"/>
      <c r="M61" s="14"/>
      <c r="N61" s="14"/>
      <c r="O61" s="8"/>
      <c r="P61" s="14"/>
      <c r="Q61" s="14"/>
      <c r="R61" s="14"/>
      <c r="S61" s="14"/>
      <c r="T61" s="10"/>
    </row>
    <row r="62" spans="1:22" x14ac:dyDescent="0.3">
      <c r="A62" s="8"/>
      <c r="B62" s="26"/>
      <c r="C62" s="14"/>
      <c r="D62" s="8"/>
      <c r="E62" s="14"/>
      <c r="F62" s="14"/>
      <c r="G62" s="8"/>
      <c r="H62" s="14"/>
      <c r="I62" s="14"/>
      <c r="J62" s="14"/>
      <c r="K62" s="14"/>
      <c r="L62" s="14"/>
      <c r="M62" s="14"/>
      <c r="N62" s="14"/>
      <c r="O62" s="8"/>
      <c r="P62" s="14"/>
      <c r="Q62" s="14"/>
      <c r="R62" s="14"/>
      <c r="S62" s="14"/>
      <c r="T62" s="10"/>
    </row>
    <row r="63" spans="1:22" x14ac:dyDescent="0.3">
      <c r="A63" s="8"/>
      <c r="B63" s="26"/>
      <c r="C63" s="14"/>
      <c r="D63" s="8"/>
      <c r="E63" s="14"/>
      <c r="F63" s="14"/>
      <c r="G63" s="8"/>
      <c r="H63" s="14"/>
      <c r="I63" s="14"/>
      <c r="J63" s="14"/>
      <c r="K63" s="14"/>
      <c r="L63" s="14"/>
      <c r="M63" s="14"/>
      <c r="N63" s="14"/>
      <c r="O63" s="8"/>
      <c r="P63" s="14"/>
      <c r="Q63" s="14"/>
      <c r="R63" s="14"/>
      <c r="S63" s="14"/>
      <c r="T63" s="10"/>
    </row>
    <row r="64" spans="1:22" x14ac:dyDescent="0.3">
      <c r="A64" s="8"/>
      <c r="B64" s="26"/>
      <c r="C64" s="14"/>
      <c r="D64" s="8"/>
      <c r="E64" s="14"/>
      <c r="F64" s="14"/>
      <c r="G64" s="8"/>
      <c r="H64" s="14"/>
      <c r="I64" s="14"/>
      <c r="J64" s="14"/>
      <c r="K64" s="14"/>
      <c r="L64" s="14"/>
      <c r="M64" s="14"/>
      <c r="N64" s="14"/>
      <c r="O64" s="8"/>
      <c r="P64" s="14"/>
      <c r="Q64" s="14"/>
      <c r="R64" s="14"/>
      <c r="S64" s="14"/>
      <c r="T64" s="10"/>
    </row>
    <row r="65" spans="1:20" x14ac:dyDescent="0.3">
      <c r="A65" s="8"/>
      <c r="B65" s="26"/>
      <c r="C65" s="14"/>
      <c r="D65" s="8"/>
      <c r="E65" s="14"/>
      <c r="F65" s="14"/>
      <c r="G65" s="8"/>
      <c r="H65" s="14"/>
      <c r="I65" s="14"/>
      <c r="J65" s="14"/>
      <c r="K65" s="14"/>
      <c r="L65" s="14"/>
      <c r="M65" s="14"/>
      <c r="N65" s="14"/>
      <c r="O65" s="8"/>
      <c r="P65" s="14"/>
      <c r="Q65" s="14"/>
      <c r="R65" s="14"/>
      <c r="S65" s="14"/>
      <c r="T65" s="10"/>
    </row>
    <row r="66" spans="1:20" x14ac:dyDescent="0.3">
      <c r="A66" s="8"/>
      <c r="B66" s="26"/>
      <c r="C66" s="14"/>
      <c r="D66" s="8"/>
      <c r="E66" s="14"/>
      <c r="F66" s="14"/>
      <c r="G66" s="8"/>
      <c r="H66" s="14"/>
      <c r="I66" s="14"/>
      <c r="J66" s="14"/>
      <c r="K66" s="14"/>
      <c r="L66" s="14"/>
      <c r="M66" s="14"/>
      <c r="N66" s="14"/>
      <c r="O66" s="8"/>
      <c r="P66" s="14"/>
      <c r="Q66" s="14"/>
      <c r="R66" s="14"/>
      <c r="S66" s="14"/>
      <c r="T66" s="10"/>
    </row>
    <row r="67" spans="1:20" x14ac:dyDescent="0.3">
      <c r="A67" s="8"/>
      <c r="B67" s="26"/>
      <c r="C67" s="14"/>
      <c r="D67" s="8"/>
      <c r="E67" s="14"/>
      <c r="F67" s="14"/>
      <c r="G67" s="8"/>
      <c r="H67" s="14"/>
      <c r="I67" s="14"/>
      <c r="J67" s="14"/>
      <c r="K67" s="14"/>
      <c r="L67" s="14"/>
      <c r="M67" s="14"/>
      <c r="N67" s="14"/>
      <c r="O67" s="8"/>
      <c r="P67" s="14"/>
      <c r="Q67" s="14"/>
      <c r="R67" s="14"/>
      <c r="S67" s="14"/>
      <c r="T67" s="10"/>
    </row>
    <row r="68" spans="1:20" x14ac:dyDescent="0.3">
      <c r="A68" s="8"/>
      <c r="B68" s="26"/>
      <c r="C68" s="14"/>
      <c r="D68" s="8"/>
      <c r="E68" s="14"/>
      <c r="F68" s="14"/>
      <c r="G68" s="8"/>
      <c r="H68" s="14"/>
      <c r="I68" s="14"/>
      <c r="J68" s="14"/>
      <c r="K68" s="14"/>
      <c r="L68" s="14"/>
      <c r="M68" s="14"/>
      <c r="N68" s="14"/>
      <c r="O68" s="8"/>
      <c r="P68" s="14"/>
      <c r="Q68" s="14"/>
      <c r="R68" s="14"/>
      <c r="S68" s="14"/>
      <c r="T68" s="10"/>
    </row>
    <row r="69" spans="1:20" x14ac:dyDescent="0.3">
      <c r="A69" s="8"/>
      <c r="B69" s="26"/>
      <c r="C69" s="14"/>
      <c r="D69" s="8"/>
      <c r="E69" s="14"/>
      <c r="F69" s="14"/>
      <c r="G69" s="8"/>
      <c r="H69" s="14"/>
      <c r="I69" s="14"/>
      <c r="J69" s="14"/>
      <c r="K69" s="14"/>
      <c r="L69" s="14"/>
      <c r="M69" s="14"/>
      <c r="N69" s="14"/>
      <c r="O69" s="8"/>
      <c r="P69" s="14"/>
      <c r="Q69" s="14"/>
      <c r="R69" s="14"/>
      <c r="S69" s="14"/>
      <c r="T69" s="10"/>
    </row>
    <row r="70" spans="1:20" x14ac:dyDescent="0.3">
      <c r="A70" s="8"/>
      <c r="B70" s="26"/>
      <c r="C70" s="14"/>
      <c r="D70" s="8"/>
      <c r="E70" s="14"/>
      <c r="F70" s="14"/>
      <c r="G70" s="8"/>
      <c r="H70" s="14"/>
      <c r="I70" s="14"/>
      <c r="J70" s="14"/>
      <c r="K70" s="14"/>
      <c r="L70" s="14"/>
      <c r="M70" s="14"/>
      <c r="N70" s="14"/>
      <c r="O70" s="8"/>
      <c r="P70" s="14"/>
      <c r="Q70" s="14"/>
      <c r="R70" s="14"/>
      <c r="S70" s="14"/>
      <c r="T70" s="10"/>
    </row>
    <row r="71" spans="1:20" x14ac:dyDescent="0.3">
      <c r="A71" s="8"/>
      <c r="B71" s="26"/>
      <c r="C71" s="14"/>
      <c r="D71" s="8"/>
      <c r="E71" s="14"/>
      <c r="F71" s="14"/>
      <c r="G71" s="8"/>
      <c r="H71" s="14"/>
      <c r="I71" s="14"/>
      <c r="J71" s="14"/>
      <c r="K71" s="14"/>
      <c r="L71" s="14"/>
      <c r="M71" s="14"/>
      <c r="N71" s="14"/>
      <c r="O71" s="8"/>
      <c r="P71" s="14"/>
      <c r="Q71" s="14"/>
      <c r="R71" s="14"/>
      <c r="S71" s="14"/>
      <c r="T71" s="10"/>
    </row>
    <row r="72" spans="1:20" x14ac:dyDescent="0.3">
      <c r="A72" s="8"/>
      <c r="B72" s="26"/>
      <c r="C72" s="14"/>
      <c r="D72" s="8"/>
      <c r="E72" s="14"/>
      <c r="F72" s="14"/>
      <c r="G72" s="8"/>
      <c r="H72" s="14"/>
      <c r="I72" s="14"/>
      <c r="J72" s="14"/>
      <c r="K72" s="14"/>
      <c r="L72" s="14"/>
      <c r="M72" s="14"/>
      <c r="N72" s="14"/>
      <c r="O72" s="8"/>
      <c r="P72" s="14"/>
      <c r="Q72" s="14"/>
      <c r="R72" s="14"/>
      <c r="S72" s="14"/>
      <c r="T72" s="10"/>
    </row>
    <row r="73" spans="1:20" x14ac:dyDescent="0.3">
      <c r="A73" s="8"/>
      <c r="B73" s="26"/>
      <c r="C73" s="14"/>
      <c r="D73" s="8"/>
      <c r="E73" s="14"/>
      <c r="F73" s="14"/>
      <c r="G73" s="8"/>
      <c r="H73" s="14"/>
      <c r="I73" s="14"/>
      <c r="J73" s="14"/>
      <c r="K73" s="14"/>
      <c r="L73" s="14"/>
      <c r="M73" s="14"/>
      <c r="N73" s="14"/>
      <c r="O73" s="8"/>
      <c r="P73" s="14"/>
      <c r="Q73" s="14"/>
      <c r="R73" s="14"/>
      <c r="S73" s="14"/>
      <c r="T73" s="10"/>
    </row>
    <row r="74" spans="1:20" x14ac:dyDescent="0.3">
      <c r="A74" s="8"/>
      <c r="B74" s="26"/>
      <c r="C74" s="14"/>
      <c r="D74" s="8"/>
      <c r="E74" s="14"/>
      <c r="F74" s="14"/>
      <c r="G74" s="8"/>
      <c r="H74" s="14"/>
      <c r="I74" s="14"/>
      <c r="J74" s="14"/>
      <c r="K74" s="14"/>
      <c r="L74" s="14"/>
      <c r="M74" s="14"/>
      <c r="N74" s="14"/>
      <c r="O74" s="8"/>
      <c r="P74" s="14"/>
      <c r="Q74" s="14"/>
      <c r="R74" s="14"/>
      <c r="S74" s="14"/>
      <c r="T74" s="10"/>
    </row>
    <row r="75" spans="1:20" x14ac:dyDescent="0.3">
      <c r="A75" s="8"/>
      <c r="B75" s="26"/>
      <c r="C75" s="14"/>
      <c r="D75" s="8"/>
      <c r="E75" s="14"/>
      <c r="F75" s="14"/>
      <c r="G75" s="8"/>
      <c r="H75" s="14"/>
      <c r="I75" s="14"/>
      <c r="J75" s="14"/>
      <c r="K75" s="14"/>
      <c r="L75" s="14"/>
      <c r="M75" s="14"/>
      <c r="N75" s="14"/>
      <c r="O75" s="8"/>
      <c r="P75" s="14"/>
      <c r="Q75" s="14"/>
      <c r="R75" s="14"/>
      <c r="S75" s="14"/>
      <c r="T75" s="10"/>
    </row>
    <row r="76" spans="1:20" x14ac:dyDescent="0.3">
      <c r="A76" s="8"/>
      <c r="B76" s="26"/>
      <c r="C76" s="14"/>
      <c r="D76" s="8"/>
      <c r="E76" s="14"/>
      <c r="F76" s="14"/>
      <c r="G76" s="8"/>
      <c r="H76" s="14"/>
      <c r="I76" s="14"/>
      <c r="J76" s="14"/>
      <c r="K76" s="14"/>
      <c r="L76" s="14"/>
      <c r="M76" s="14"/>
      <c r="N76" s="14"/>
      <c r="O76" s="8"/>
      <c r="P76" s="14"/>
      <c r="Q76" s="14"/>
      <c r="R76" s="14"/>
      <c r="S76" s="14"/>
      <c r="T76" s="10"/>
    </row>
    <row r="77" spans="1:20" x14ac:dyDescent="0.3">
      <c r="A77" s="8"/>
      <c r="B77" s="26"/>
      <c r="C77" s="14"/>
      <c r="D77" s="8"/>
      <c r="E77" s="14"/>
      <c r="F77" s="14"/>
      <c r="G77" s="8"/>
      <c r="H77" s="14"/>
      <c r="I77" s="14"/>
      <c r="J77" s="14"/>
      <c r="K77" s="14"/>
      <c r="L77" s="14"/>
      <c r="M77" s="14"/>
      <c r="N77" s="14"/>
      <c r="O77" s="8"/>
      <c r="P77" s="14"/>
      <c r="Q77" s="14"/>
      <c r="R77" s="14"/>
      <c r="S77" s="14"/>
      <c r="T77" s="10"/>
    </row>
    <row r="78" spans="1:20" x14ac:dyDescent="0.3">
      <c r="A78" s="8"/>
      <c r="B78" s="26"/>
      <c r="C78" s="14"/>
      <c r="D78" s="8"/>
      <c r="E78" s="14"/>
      <c r="F78" s="14"/>
      <c r="G78" s="8"/>
      <c r="H78" s="14"/>
      <c r="I78" s="14"/>
      <c r="J78" s="14"/>
      <c r="K78" s="14"/>
      <c r="L78" s="14"/>
      <c r="M78" s="14"/>
      <c r="N78" s="14"/>
      <c r="O78" s="8"/>
      <c r="P78" s="14"/>
      <c r="Q78" s="14"/>
      <c r="R78" s="14"/>
      <c r="S78" s="14"/>
      <c r="T78" s="10"/>
    </row>
    <row r="79" spans="1:20" x14ac:dyDescent="0.3">
      <c r="A79" s="8"/>
      <c r="B79" s="26"/>
      <c r="C79" s="14"/>
      <c r="D79" s="8"/>
      <c r="E79" s="14"/>
      <c r="F79" s="14"/>
      <c r="G79" s="8"/>
      <c r="H79" s="14"/>
      <c r="I79" s="14"/>
      <c r="J79" s="14"/>
      <c r="K79" s="14"/>
      <c r="L79" s="14"/>
      <c r="M79" s="14"/>
      <c r="N79" s="14"/>
      <c r="O79" s="8"/>
      <c r="P79" s="14"/>
      <c r="Q79" s="14"/>
      <c r="R79" s="14"/>
      <c r="S79" s="14"/>
      <c r="T79" s="10"/>
    </row>
    <row r="80" spans="1:20" x14ac:dyDescent="0.3">
      <c r="A80" s="8"/>
      <c r="B80" s="26"/>
      <c r="C80" s="14"/>
      <c r="D80" s="8"/>
      <c r="E80" s="14"/>
      <c r="F80" s="14"/>
      <c r="G80" s="8"/>
      <c r="H80" s="14"/>
      <c r="I80" s="14"/>
      <c r="J80" s="14"/>
      <c r="K80" s="14"/>
      <c r="L80" s="14"/>
      <c r="M80" s="14"/>
      <c r="N80" s="14"/>
      <c r="O80" s="8"/>
      <c r="P80" s="14"/>
      <c r="Q80" s="14"/>
      <c r="R80" s="14"/>
      <c r="S80" s="14"/>
      <c r="T80" s="10"/>
    </row>
    <row r="81" spans="1:20" x14ac:dyDescent="0.3">
      <c r="A81" s="8"/>
      <c r="B81" s="26"/>
      <c r="C81" s="14"/>
      <c r="D81" s="8"/>
      <c r="E81" s="14"/>
      <c r="F81" s="14"/>
      <c r="G81" s="8"/>
      <c r="H81" s="14"/>
      <c r="I81" s="14"/>
      <c r="J81" s="14"/>
      <c r="K81" s="14"/>
      <c r="L81" s="14"/>
      <c r="M81" s="14"/>
      <c r="N81" s="14"/>
      <c r="O81" s="8"/>
      <c r="P81" s="14"/>
      <c r="Q81" s="14"/>
      <c r="R81" s="14"/>
      <c r="S81" s="14"/>
      <c r="T81" s="10"/>
    </row>
    <row r="82" spans="1:20" x14ac:dyDescent="0.3">
      <c r="A82" s="8"/>
      <c r="B82" s="26"/>
      <c r="C82" s="14"/>
      <c r="D82" s="8"/>
      <c r="E82" s="14"/>
      <c r="F82" s="14"/>
      <c r="G82" s="8"/>
      <c r="H82" s="14"/>
      <c r="I82" s="14"/>
      <c r="J82" s="14"/>
      <c r="K82" s="14"/>
      <c r="L82" s="14"/>
      <c r="M82" s="14"/>
      <c r="N82" s="14"/>
      <c r="O82" s="8"/>
      <c r="P82" s="14"/>
      <c r="Q82" s="14"/>
      <c r="R82" s="14"/>
      <c r="S82" s="14"/>
      <c r="T82" s="10"/>
    </row>
    <row r="83" spans="1:20" x14ac:dyDescent="0.3">
      <c r="A83" s="8"/>
      <c r="B83" s="26"/>
      <c r="C83" s="14"/>
      <c r="D83" s="8"/>
      <c r="E83" s="14"/>
      <c r="F83" s="14"/>
      <c r="G83" s="8"/>
      <c r="H83" s="14"/>
      <c r="I83" s="14"/>
      <c r="J83" s="14"/>
      <c r="K83" s="14"/>
      <c r="L83" s="14"/>
      <c r="M83" s="14"/>
      <c r="N83" s="14"/>
      <c r="O83" s="8"/>
      <c r="P83" s="14"/>
      <c r="Q83" s="14"/>
      <c r="R83" s="14"/>
      <c r="S83" s="14"/>
      <c r="T83" s="10"/>
    </row>
    <row r="84" spans="1:20" x14ac:dyDescent="0.3">
      <c r="A84" s="8"/>
      <c r="B84" s="26"/>
      <c r="C84" s="14"/>
      <c r="D84" s="8"/>
      <c r="E84" s="14"/>
      <c r="F84" s="14"/>
      <c r="G84" s="8"/>
      <c r="H84" s="14"/>
      <c r="I84" s="14"/>
      <c r="J84" s="14"/>
      <c r="K84" s="14"/>
      <c r="L84" s="14"/>
      <c r="M84" s="14"/>
      <c r="N84" s="14"/>
      <c r="O84" s="8"/>
      <c r="P84" s="14"/>
      <c r="Q84" s="14"/>
      <c r="R84" s="14"/>
      <c r="S84" s="14"/>
      <c r="T84" s="10"/>
    </row>
    <row r="85" spans="1:20" x14ac:dyDescent="0.3">
      <c r="A85" s="8"/>
      <c r="B85" s="26"/>
      <c r="C85" s="14"/>
      <c r="D85" s="8"/>
      <c r="E85" s="14"/>
      <c r="F85" s="14"/>
      <c r="G85" s="8"/>
      <c r="H85" s="14"/>
      <c r="I85" s="14"/>
      <c r="J85" s="14"/>
      <c r="K85" s="14"/>
      <c r="L85" s="14"/>
      <c r="M85" s="14"/>
      <c r="N85" s="14"/>
      <c r="O85" s="8"/>
      <c r="P85" s="14"/>
      <c r="Q85" s="14"/>
      <c r="R85" s="14"/>
      <c r="S85" s="14"/>
      <c r="T85" s="10"/>
    </row>
    <row r="86" spans="1:20" x14ac:dyDescent="0.3">
      <c r="A86" s="8"/>
      <c r="B86" s="26"/>
      <c r="C86" s="14"/>
      <c r="D86" s="8"/>
      <c r="E86" s="14"/>
      <c r="F86" s="14"/>
      <c r="G86" s="8"/>
      <c r="H86" s="14"/>
      <c r="I86" s="14"/>
      <c r="J86" s="14"/>
      <c r="K86" s="14"/>
      <c r="L86" s="14"/>
      <c r="M86" s="14"/>
      <c r="N86" s="14"/>
      <c r="O86" s="8"/>
      <c r="P86" s="14"/>
      <c r="Q86" s="14"/>
      <c r="R86" s="14"/>
      <c r="S86" s="14"/>
      <c r="T86" s="10"/>
    </row>
    <row r="87" spans="1:20" x14ac:dyDescent="0.3">
      <c r="A87" s="8"/>
      <c r="B87" s="26"/>
      <c r="C87" s="14"/>
      <c r="D87" s="8"/>
      <c r="E87" s="14"/>
      <c r="F87" s="14"/>
      <c r="G87" s="8"/>
      <c r="H87" s="14"/>
      <c r="I87" s="14"/>
      <c r="J87" s="14"/>
      <c r="K87" s="14"/>
      <c r="L87" s="14"/>
      <c r="M87" s="14"/>
      <c r="N87" s="14"/>
      <c r="O87" s="8"/>
      <c r="P87" s="14"/>
      <c r="Q87" s="14"/>
      <c r="R87" s="14"/>
      <c r="S87" s="14"/>
      <c r="T87" s="10"/>
    </row>
    <row r="88" spans="1:20" x14ac:dyDescent="0.3">
      <c r="A88" s="8"/>
      <c r="B88" s="26"/>
      <c r="C88" s="14"/>
      <c r="D88" s="8"/>
      <c r="E88" s="14"/>
      <c r="F88" s="14"/>
      <c r="G88" s="8"/>
      <c r="H88" s="14"/>
      <c r="I88" s="14"/>
      <c r="J88" s="14"/>
      <c r="K88" s="14"/>
      <c r="L88" s="14"/>
      <c r="M88" s="14"/>
      <c r="N88" s="14"/>
      <c r="O88" s="8"/>
      <c r="P88" s="14"/>
      <c r="Q88" s="14"/>
      <c r="R88" s="14"/>
      <c r="S88" s="14"/>
      <c r="T88" s="10"/>
    </row>
    <row r="89" spans="1:20" x14ac:dyDescent="0.3">
      <c r="A89" s="8"/>
      <c r="B89" s="26"/>
      <c r="C89" s="14"/>
      <c r="D89" s="8"/>
      <c r="E89" s="14"/>
      <c r="F89" s="14"/>
      <c r="G89" s="8"/>
      <c r="H89" s="14"/>
      <c r="I89" s="14"/>
      <c r="J89" s="14"/>
      <c r="K89" s="14"/>
      <c r="L89" s="14"/>
      <c r="M89" s="14"/>
      <c r="N89" s="14"/>
      <c r="O89" s="8"/>
      <c r="P89" s="14"/>
      <c r="Q89" s="14"/>
      <c r="R89" s="14"/>
      <c r="S89" s="14"/>
      <c r="T89" s="10"/>
    </row>
    <row r="90" spans="1:20" x14ac:dyDescent="0.3">
      <c r="A90" s="8"/>
      <c r="B90" s="26"/>
      <c r="C90" s="14"/>
      <c r="D90" s="8"/>
      <c r="E90" s="14"/>
      <c r="F90" s="14"/>
      <c r="G90" s="8"/>
      <c r="H90" s="14"/>
      <c r="I90" s="14"/>
      <c r="J90" s="14"/>
      <c r="K90" s="14"/>
      <c r="L90" s="14"/>
      <c r="M90" s="14"/>
      <c r="N90" s="14"/>
      <c r="O90" s="8"/>
      <c r="P90" s="14"/>
      <c r="Q90" s="14"/>
      <c r="R90" s="14"/>
      <c r="S90" s="14"/>
      <c r="T90" s="10"/>
    </row>
    <row r="91" spans="1:20" x14ac:dyDescent="0.3">
      <c r="A91" s="8"/>
      <c r="B91" s="26"/>
      <c r="C91" s="14"/>
      <c r="D91" s="8"/>
      <c r="E91" s="14"/>
      <c r="F91" s="14"/>
      <c r="G91" s="8"/>
      <c r="H91" s="14"/>
      <c r="I91" s="14"/>
      <c r="J91" s="14"/>
      <c r="K91" s="14"/>
      <c r="L91" s="14"/>
      <c r="M91" s="14"/>
      <c r="N91" s="14"/>
      <c r="O91" s="8"/>
      <c r="P91" s="14"/>
      <c r="Q91" s="14"/>
      <c r="R91" s="14"/>
      <c r="S91" s="14"/>
      <c r="T91" s="10"/>
    </row>
    <row r="92" spans="1:20" x14ac:dyDescent="0.3">
      <c r="A92" s="8"/>
      <c r="B92" s="26"/>
      <c r="C92" s="14"/>
      <c r="D92" s="8"/>
      <c r="E92" s="14"/>
      <c r="F92" s="14"/>
      <c r="G92" s="8"/>
      <c r="H92" s="14"/>
      <c r="I92" s="14"/>
      <c r="J92" s="14"/>
      <c r="K92" s="14"/>
      <c r="L92" s="14"/>
      <c r="M92" s="14"/>
      <c r="N92" s="14"/>
      <c r="O92" s="8"/>
      <c r="P92" s="14"/>
      <c r="Q92" s="14"/>
      <c r="R92" s="14"/>
      <c r="S92" s="14"/>
      <c r="T92" s="10"/>
    </row>
    <row r="93" spans="1:20" x14ac:dyDescent="0.3">
      <c r="A93" s="8"/>
      <c r="B93" s="26"/>
      <c r="C93" s="14"/>
      <c r="D93" s="8"/>
      <c r="E93" s="14"/>
      <c r="F93" s="14"/>
      <c r="G93" s="8"/>
      <c r="H93" s="14"/>
      <c r="I93" s="14"/>
      <c r="J93" s="14"/>
      <c r="K93" s="14"/>
      <c r="L93" s="14"/>
      <c r="M93" s="14"/>
      <c r="N93" s="14"/>
      <c r="O93" s="8"/>
      <c r="P93" s="14"/>
      <c r="Q93" s="14"/>
      <c r="R93" s="14"/>
      <c r="S93" s="14"/>
      <c r="T93" s="10"/>
    </row>
    <row r="94" spans="1:20" x14ac:dyDescent="0.3">
      <c r="A94" s="8"/>
      <c r="B94" s="26"/>
      <c r="C94" s="14"/>
      <c r="D94" s="8"/>
      <c r="E94" s="14"/>
      <c r="F94" s="14"/>
      <c r="G94" s="8"/>
      <c r="H94" s="14"/>
      <c r="I94" s="14"/>
      <c r="J94" s="14"/>
      <c r="K94" s="14"/>
      <c r="L94" s="14"/>
      <c r="M94" s="14"/>
      <c r="N94" s="14"/>
      <c r="O94" s="8"/>
      <c r="P94" s="14"/>
      <c r="Q94" s="14"/>
      <c r="R94" s="14"/>
      <c r="S94" s="14"/>
      <c r="T94" s="10"/>
    </row>
    <row r="95" spans="1:20" x14ac:dyDescent="0.3">
      <c r="A95" s="8"/>
      <c r="B95" s="26"/>
      <c r="C95" s="14"/>
      <c r="D95" s="8"/>
      <c r="E95" s="14"/>
      <c r="F95" s="14"/>
      <c r="G95" s="8"/>
      <c r="H95" s="14"/>
      <c r="I95" s="14"/>
      <c r="J95" s="14"/>
      <c r="K95" s="14"/>
      <c r="L95" s="14"/>
      <c r="M95" s="14"/>
      <c r="N95" s="14"/>
      <c r="O95" s="8"/>
      <c r="P95" s="14"/>
      <c r="Q95" s="14"/>
      <c r="R95" s="14"/>
      <c r="S95" s="14"/>
      <c r="T95" s="10"/>
    </row>
    <row r="96" spans="1:20" x14ac:dyDescent="0.3">
      <c r="A96" s="8"/>
      <c r="B96" s="26"/>
      <c r="C96" s="14"/>
      <c r="D96" s="8"/>
      <c r="E96" s="14"/>
      <c r="F96" s="14"/>
      <c r="G96" s="8"/>
      <c r="H96" s="14"/>
      <c r="I96" s="14"/>
      <c r="J96" s="14"/>
      <c r="K96" s="14"/>
      <c r="L96" s="14"/>
      <c r="M96" s="14"/>
      <c r="N96" s="14"/>
      <c r="O96" s="8"/>
      <c r="P96" s="14"/>
      <c r="Q96" s="14"/>
      <c r="R96" s="14"/>
      <c r="S96" s="14"/>
      <c r="T96" s="10"/>
    </row>
    <row r="97" spans="1:20" x14ac:dyDescent="0.3">
      <c r="A97" s="8"/>
      <c r="B97" s="26"/>
      <c r="C97" s="14"/>
      <c r="D97" s="8"/>
      <c r="E97" s="14"/>
      <c r="F97" s="14"/>
      <c r="G97" s="8"/>
      <c r="H97" s="14"/>
      <c r="I97" s="14"/>
      <c r="J97" s="14"/>
      <c r="K97" s="14"/>
      <c r="L97" s="14"/>
      <c r="M97" s="14"/>
      <c r="N97" s="14"/>
      <c r="O97" s="8"/>
      <c r="P97" s="14"/>
      <c r="Q97" s="14"/>
      <c r="R97" s="14"/>
      <c r="S97" s="14"/>
      <c r="T97" s="10"/>
    </row>
    <row r="98" spans="1:20" x14ac:dyDescent="0.3">
      <c r="A98" s="8"/>
      <c r="B98" s="26"/>
      <c r="C98" s="14"/>
      <c r="D98" s="8"/>
      <c r="E98" s="14"/>
      <c r="F98" s="14"/>
      <c r="G98" s="8"/>
      <c r="H98" s="14"/>
      <c r="I98" s="14"/>
      <c r="J98" s="14"/>
      <c r="K98" s="14"/>
      <c r="L98" s="14"/>
      <c r="M98" s="14"/>
      <c r="N98" s="14"/>
      <c r="O98" s="8"/>
      <c r="P98" s="14"/>
      <c r="Q98" s="14"/>
      <c r="R98" s="14"/>
      <c r="S98" s="14"/>
      <c r="T98" s="10"/>
    </row>
    <row r="99" spans="1:20" x14ac:dyDescent="0.3">
      <c r="A99" s="8"/>
      <c r="B99" s="26"/>
      <c r="C99" s="14"/>
      <c r="D99" s="8"/>
      <c r="E99" s="14"/>
      <c r="F99" s="14"/>
      <c r="G99" s="8"/>
      <c r="H99" s="14"/>
      <c r="I99" s="14"/>
      <c r="J99" s="14"/>
      <c r="K99" s="14"/>
      <c r="L99" s="14"/>
      <c r="M99" s="14"/>
      <c r="N99" s="14"/>
      <c r="O99" s="8"/>
      <c r="P99" s="14"/>
      <c r="Q99" s="14"/>
      <c r="R99" s="14"/>
      <c r="S99" s="14"/>
      <c r="T99" s="10"/>
    </row>
    <row r="100" spans="1:20" x14ac:dyDescent="0.3">
      <c r="A100" s="8"/>
      <c r="B100" s="26"/>
      <c r="C100" s="14"/>
      <c r="D100" s="8"/>
      <c r="E100" s="14"/>
      <c r="F100" s="14"/>
      <c r="G100" s="8"/>
      <c r="H100" s="14"/>
      <c r="I100" s="14"/>
      <c r="J100" s="14"/>
      <c r="K100" s="14"/>
      <c r="L100" s="14"/>
      <c r="M100" s="14"/>
      <c r="N100" s="14"/>
      <c r="O100" s="8"/>
      <c r="P100" s="14"/>
      <c r="Q100" s="14"/>
      <c r="R100" s="14"/>
      <c r="S100" s="14"/>
      <c r="T100" s="10"/>
    </row>
    <row r="101" spans="1:20" x14ac:dyDescent="0.3">
      <c r="A101" s="8"/>
      <c r="B101" s="22"/>
      <c r="C101" s="14"/>
      <c r="D101" s="8"/>
      <c r="E101" s="14"/>
      <c r="F101" s="14"/>
      <c r="G101" s="8"/>
      <c r="H101" s="14"/>
      <c r="I101" s="14"/>
      <c r="J101" s="14"/>
      <c r="K101" s="14"/>
      <c r="L101" s="14"/>
      <c r="M101" s="14"/>
      <c r="N101" s="14"/>
      <c r="O101" s="8"/>
      <c r="P101" s="14"/>
      <c r="Q101" s="14"/>
      <c r="R101" s="14"/>
      <c r="S101" s="14"/>
      <c r="T101" s="10"/>
    </row>
    <row r="102" spans="1:20" x14ac:dyDescent="0.3">
      <c r="A102" s="8"/>
      <c r="B102" s="22"/>
      <c r="C102" s="14"/>
      <c r="D102" s="8"/>
      <c r="E102" s="14"/>
      <c r="F102" s="14"/>
      <c r="G102" s="8"/>
      <c r="H102" s="14"/>
      <c r="I102" s="14"/>
      <c r="J102" s="14"/>
      <c r="K102" s="14"/>
      <c r="L102" s="14"/>
      <c r="M102" s="14"/>
      <c r="N102" s="14"/>
      <c r="O102" s="8"/>
      <c r="P102" s="14"/>
      <c r="Q102" s="14"/>
      <c r="R102" s="14"/>
      <c r="S102" s="14"/>
      <c r="T102" s="10"/>
    </row>
    <row r="103" spans="1:20" x14ac:dyDescent="0.3">
      <c r="A103" s="8"/>
      <c r="B103" s="22"/>
      <c r="C103" s="14"/>
      <c r="D103" s="8"/>
      <c r="E103" s="14"/>
      <c r="F103" s="14"/>
      <c r="G103" s="8"/>
      <c r="H103" s="14"/>
      <c r="I103" s="14"/>
      <c r="J103" s="14"/>
      <c r="K103" s="14"/>
      <c r="L103" s="14"/>
      <c r="M103" s="14"/>
      <c r="N103" s="14"/>
      <c r="O103" s="8"/>
      <c r="P103" s="14"/>
      <c r="Q103" s="14"/>
      <c r="R103" s="14"/>
      <c r="S103" s="14"/>
      <c r="T103" s="10"/>
    </row>
    <row r="104" spans="1:20" x14ac:dyDescent="0.3">
      <c r="A104" s="8"/>
      <c r="B104" s="22"/>
      <c r="C104" s="14"/>
      <c r="D104" s="8"/>
      <c r="E104" s="14"/>
      <c r="F104" s="14"/>
      <c r="G104" s="8"/>
      <c r="H104" s="14"/>
      <c r="I104" s="14"/>
      <c r="J104" s="14"/>
      <c r="K104" s="14"/>
      <c r="L104" s="14"/>
      <c r="M104" s="14"/>
      <c r="N104" s="14"/>
      <c r="O104" s="8"/>
      <c r="P104" s="14"/>
      <c r="Q104" s="14"/>
      <c r="R104" s="14"/>
      <c r="S104" s="14"/>
      <c r="T104" s="10"/>
    </row>
    <row r="105" spans="1:20" x14ac:dyDescent="0.3">
      <c r="A105" s="8"/>
      <c r="B105" s="22"/>
      <c r="C105" s="14"/>
      <c r="D105" s="8"/>
      <c r="E105" s="14"/>
      <c r="F105" s="14"/>
      <c r="G105" s="8"/>
      <c r="H105" s="14"/>
      <c r="I105" s="14"/>
      <c r="J105" s="14"/>
      <c r="K105" s="14"/>
      <c r="L105" s="14"/>
      <c r="M105" s="14"/>
      <c r="N105" s="14"/>
      <c r="O105" s="8"/>
      <c r="P105" s="14"/>
      <c r="Q105" s="14"/>
      <c r="R105" s="14"/>
      <c r="S105" s="14"/>
      <c r="T105" s="10"/>
    </row>
  </sheetData>
  <mergeCells count="11">
    <mergeCell ref="F1:F2"/>
    <mergeCell ref="A1:A3"/>
    <mergeCell ref="B1:B3"/>
    <mergeCell ref="C1:C2"/>
    <mergeCell ref="D1:D2"/>
    <mergeCell ref="E1:E2"/>
    <mergeCell ref="R1:R3"/>
    <mergeCell ref="S1:S3"/>
    <mergeCell ref="T1:T3"/>
    <mergeCell ref="U1:U3"/>
    <mergeCell ref="V1:V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3090-C94C-435C-9598-4EFE2B77B3A3}">
  <dimension ref="A1:V208"/>
  <sheetViews>
    <sheetView workbookViewId="0">
      <selection activeCell="F4" sqref="F4"/>
    </sheetView>
  </sheetViews>
  <sheetFormatPr defaultRowHeight="14.4" x14ac:dyDescent="0.3"/>
  <cols>
    <col min="3" max="3" width="14.33203125" customWidth="1"/>
    <col min="4" max="4" width="12.6640625" customWidth="1"/>
    <col min="5" max="5" width="13.77734375" customWidth="1"/>
    <col min="6" max="6" width="15.6640625" customWidth="1"/>
    <col min="7" max="7" width="12.33203125" customWidth="1"/>
    <col min="8" max="8" width="12.109375" customWidth="1"/>
    <col min="9" max="9" width="14.88671875" customWidth="1"/>
    <col min="10" max="10" width="12" customWidth="1"/>
    <col min="11" max="11" width="12.77734375" customWidth="1"/>
    <col min="12" max="12" width="9.6640625" customWidth="1"/>
    <col min="13" max="13" width="13" customWidth="1"/>
    <col min="14" max="14" width="16.33203125" customWidth="1"/>
    <col min="15" max="17" width="15.6640625" customWidth="1"/>
    <col min="21" max="21" width="19.5546875" customWidth="1"/>
    <col min="22" max="22" width="13.33203125" customWidth="1"/>
  </cols>
  <sheetData>
    <row r="1" spans="1:22" ht="43.8" thickBot="1" x14ac:dyDescent="0.35">
      <c r="A1" s="236" t="s">
        <v>0</v>
      </c>
      <c r="B1" s="239" t="s">
        <v>22</v>
      </c>
      <c r="C1" s="242" t="s">
        <v>23</v>
      </c>
      <c r="D1" s="242" t="s">
        <v>24</v>
      </c>
      <c r="E1" s="251" t="s">
        <v>42</v>
      </c>
      <c r="F1" s="251" t="s">
        <v>43</v>
      </c>
      <c r="G1" s="156" t="s">
        <v>31</v>
      </c>
      <c r="H1" s="156" t="s">
        <v>30</v>
      </c>
      <c r="I1" s="156" t="s">
        <v>25</v>
      </c>
      <c r="J1" s="156" t="s">
        <v>26</v>
      </c>
      <c r="K1" s="156" t="s">
        <v>27</v>
      </c>
      <c r="L1" s="156" t="s">
        <v>28</v>
      </c>
      <c r="M1" s="156" t="s">
        <v>29</v>
      </c>
      <c r="N1" s="157" t="s">
        <v>34</v>
      </c>
      <c r="O1" s="157" t="s">
        <v>35</v>
      </c>
      <c r="P1" s="166" t="s">
        <v>44</v>
      </c>
      <c r="Q1" s="158" t="s">
        <v>41</v>
      </c>
      <c r="R1" s="236" t="s">
        <v>37</v>
      </c>
      <c r="S1" s="236" t="s">
        <v>36</v>
      </c>
      <c r="T1" s="236" t="s">
        <v>33</v>
      </c>
      <c r="U1" s="236" t="s">
        <v>38</v>
      </c>
      <c r="V1" s="236" t="s">
        <v>39</v>
      </c>
    </row>
    <row r="2" spans="1:22" ht="43.8" thickBot="1" x14ac:dyDescent="0.35">
      <c r="A2" s="237"/>
      <c r="B2" s="240"/>
      <c r="C2" s="243"/>
      <c r="D2" s="243"/>
      <c r="E2" s="252"/>
      <c r="F2" s="253"/>
      <c r="G2" s="161" t="s">
        <v>32</v>
      </c>
      <c r="H2" s="161" t="s">
        <v>32</v>
      </c>
      <c r="I2" s="161" t="s">
        <v>32</v>
      </c>
      <c r="J2" s="161" t="s">
        <v>32</v>
      </c>
      <c r="K2" s="161" t="s">
        <v>32</v>
      </c>
      <c r="L2" s="161" t="s">
        <v>32</v>
      </c>
      <c r="M2" s="164" t="s">
        <v>32</v>
      </c>
      <c r="N2" s="161" t="s">
        <v>17</v>
      </c>
      <c r="O2" s="161" t="s">
        <v>17</v>
      </c>
      <c r="P2" s="161" t="s">
        <v>17</v>
      </c>
      <c r="Q2" s="161" t="s">
        <v>17</v>
      </c>
      <c r="R2" s="249"/>
      <c r="S2" s="237"/>
      <c r="T2" s="237"/>
      <c r="U2" s="237"/>
      <c r="V2" s="237"/>
    </row>
    <row r="3" spans="1:22" ht="15" thickBot="1" x14ac:dyDescent="0.35">
      <c r="A3" s="238"/>
      <c r="B3" s="241"/>
      <c r="C3" s="160">
        <v>40</v>
      </c>
      <c r="D3" s="160">
        <v>150</v>
      </c>
      <c r="E3" s="160">
        <v>25</v>
      </c>
      <c r="F3" s="160">
        <v>50</v>
      </c>
      <c r="G3" s="160">
        <v>32.630000000000003</v>
      </c>
      <c r="H3" s="162">
        <v>38.06</v>
      </c>
      <c r="I3" s="162">
        <v>33.25</v>
      </c>
      <c r="J3" s="162">
        <v>28.25</v>
      </c>
      <c r="K3" s="162">
        <v>33.25</v>
      </c>
      <c r="L3" s="162">
        <v>32.130000000000003</v>
      </c>
      <c r="M3" s="165">
        <v>48.25</v>
      </c>
      <c r="N3" s="163">
        <v>0.1</v>
      </c>
      <c r="O3" s="163">
        <v>0.35</v>
      </c>
      <c r="P3" s="163">
        <v>0.1</v>
      </c>
      <c r="Q3" s="163">
        <v>0.1</v>
      </c>
      <c r="R3" s="250"/>
      <c r="S3" s="238"/>
      <c r="T3" s="238"/>
      <c r="U3" s="238"/>
      <c r="V3" s="238"/>
    </row>
    <row r="4" spans="1:22" ht="43.2" x14ac:dyDescent="0.3">
      <c r="A4" s="147" cm="1">
        <f t="array" ref="A4:A53">_xlfn.SEQUENCE(50)</f>
        <v>1</v>
      </c>
      <c r="B4" s="148">
        <v>1</v>
      </c>
      <c r="C4" s="159">
        <f>B4*$C$3</f>
        <v>40</v>
      </c>
      <c r="D4" s="159">
        <f t="shared" ref="D4:D35" si="0">B4*$D$3</f>
        <v>150</v>
      </c>
      <c r="E4" s="159">
        <f>B6*$E$3</f>
        <v>75</v>
      </c>
      <c r="F4" s="159">
        <f t="shared" ref="F4:F35" si="1">B4*$F$3</f>
        <v>50</v>
      </c>
      <c r="G4" s="159">
        <f>36.38+$G$3</f>
        <v>69.010000000000005</v>
      </c>
      <c r="H4" s="46">
        <f>39.4+$H$3</f>
        <v>77.460000000000008</v>
      </c>
      <c r="I4" s="46">
        <f>35.75+$I$3</f>
        <v>69</v>
      </c>
      <c r="J4" s="46">
        <f>30.75+$J$3</f>
        <v>59</v>
      </c>
      <c r="K4" s="46">
        <f>37+$K$3</f>
        <v>70.25</v>
      </c>
      <c r="L4" s="46">
        <f>34.75+$L$3</f>
        <v>66.88</v>
      </c>
      <c r="M4" s="46">
        <f>51.25+$M$3</f>
        <v>99.5</v>
      </c>
      <c r="N4" s="159">
        <f t="shared" ref="N4:N35" si="2">C4 + $N$3*C4</f>
        <v>44</v>
      </c>
      <c r="O4" s="159">
        <f t="shared" ref="O4:O35" si="3">D4 + $O$3*D4</f>
        <v>202.5</v>
      </c>
      <c r="P4" s="159">
        <f t="shared" ref="P4:P35" si="4">E4 + $P$3*E4</f>
        <v>82.5</v>
      </c>
      <c r="Q4" s="159">
        <f t="shared" ref="Q4:Q35" si="5">F4 + $Q$3*F4</f>
        <v>55</v>
      </c>
      <c r="R4" s="167">
        <f t="shared" ref="R4:R35" si="6">MAX(N4, O4, G4:Q4)</f>
        <v>202.5</v>
      </c>
      <c r="S4" s="167">
        <f t="shared" ref="S4:S35" si="7">MIN(N4, O4, G4:Q4)</f>
        <v>44</v>
      </c>
      <c r="T4" s="151">
        <f>R4 - S4</f>
        <v>158.5</v>
      </c>
      <c r="U4" s="152" t="str">
        <f>INDEX(C1:M1, MATCH(MIN(C6:M6), C6:M6, 0))</f>
        <v>DTDC PER KG</v>
      </c>
      <c r="V4" s="153" t="str">
        <f>INDEX(N1:Q1, MATCH(MAX(N4:Q4), N4:Q4,0))</f>
        <v>ANJANI COURIER SERVICE</v>
      </c>
    </row>
    <row r="5" spans="1:22" x14ac:dyDescent="0.3">
      <c r="A5" s="142">
        <v>2</v>
      </c>
      <c r="B5" s="16">
        <f>B4 + 1</f>
        <v>2</v>
      </c>
      <c r="C5" s="12">
        <f>B5*$C$3</f>
        <v>80</v>
      </c>
      <c r="D5" s="12">
        <f t="shared" si="0"/>
        <v>300</v>
      </c>
      <c r="E5" s="12">
        <f>B6*$E$3</f>
        <v>75</v>
      </c>
      <c r="F5" s="12">
        <f t="shared" si="1"/>
        <v>100</v>
      </c>
      <c r="G5" s="12">
        <f>SUM(G4, $G$3*2)</f>
        <v>134.27000000000001</v>
      </c>
      <c r="H5" s="13">
        <f>SUM(H4, $H$3*2)</f>
        <v>153.58000000000001</v>
      </c>
      <c r="I5" s="13">
        <f>SUM(I4, $I$3*2)</f>
        <v>135.5</v>
      </c>
      <c r="J5" s="13">
        <f>SUM(J4, $J$3*2)</f>
        <v>115.5</v>
      </c>
      <c r="K5" s="13">
        <f>SUM(K4, $K$3*2)</f>
        <v>136.75</v>
      </c>
      <c r="L5" s="13">
        <f>SUM(L4, $L$3*2)</f>
        <v>131.13999999999999</v>
      </c>
      <c r="M5" s="13">
        <f>SUM(M4, $M$3*2)</f>
        <v>196</v>
      </c>
      <c r="N5" s="12">
        <f t="shared" si="2"/>
        <v>88</v>
      </c>
      <c r="O5" s="12">
        <f t="shared" si="3"/>
        <v>405</v>
      </c>
      <c r="P5" s="12">
        <f t="shared" si="4"/>
        <v>82.5</v>
      </c>
      <c r="Q5" s="12">
        <f t="shared" si="5"/>
        <v>110</v>
      </c>
      <c r="R5" s="13">
        <f t="shared" si="6"/>
        <v>405</v>
      </c>
      <c r="S5" s="13">
        <f t="shared" si="7"/>
        <v>82.5</v>
      </c>
      <c r="T5" s="11">
        <f t="shared" ref="T5:T53" si="8">R5 - S5</f>
        <v>322.5</v>
      </c>
      <c r="U5" s="2"/>
      <c r="V5" s="3"/>
    </row>
    <row r="6" spans="1:22" x14ac:dyDescent="0.3">
      <c r="A6" s="142">
        <v>3</v>
      </c>
      <c r="B6" s="16">
        <f t="shared" ref="B6:B53" si="9">B5 + 1</f>
        <v>3</v>
      </c>
      <c r="C6" s="12">
        <f t="shared" ref="C6:C53" si="10">B6*$C$3</f>
        <v>120</v>
      </c>
      <c r="D6" s="12">
        <f t="shared" si="0"/>
        <v>450</v>
      </c>
      <c r="E6" s="12">
        <f t="shared" ref="E6:E53" si="11">B6*$E$3</f>
        <v>75</v>
      </c>
      <c r="F6" s="12">
        <f t="shared" si="1"/>
        <v>150</v>
      </c>
      <c r="G6" s="12">
        <f t="shared" ref="G6:G53" si="12">SUM(G5, $G$3*2)</f>
        <v>199.53000000000003</v>
      </c>
      <c r="H6" s="13">
        <f t="shared" ref="H6:H53" si="13">SUM(H5, $H$3*2)</f>
        <v>229.70000000000002</v>
      </c>
      <c r="I6" s="13">
        <f t="shared" ref="I6:I53" si="14">SUM(I5, $I$3*2)</f>
        <v>202</v>
      </c>
      <c r="J6" s="13">
        <f t="shared" ref="J6:J53" si="15">SUM(J5, $J$3*2)</f>
        <v>172</v>
      </c>
      <c r="K6" s="13">
        <f t="shared" ref="K6:K53" si="16">SUM(K5, $K$3*2)</f>
        <v>203.25</v>
      </c>
      <c r="L6" s="13">
        <f t="shared" ref="L6:L53" si="17">SUM(L5, $L$3*2)</f>
        <v>195.39999999999998</v>
      </c>
      <c r="M6" s="13">
        <f t="shared" ref="M6:M53" si="18">SUM(M5, $M$3*2)</f>
        <v>292.5</v>
      </c>
      <c r="N6" s="12">
        <f t="shared" si="2"/>
        <v>132</v>
      </c>
      <c r="O6" s="12">
        <f t="shared" si="3"/>
        <v>607.5</v>
      </c>
      <c r="P6" s="12">
        <f t="shared" si="4"/>
        <v>82.5</v>
      </c>
      <c r="Q6" s="12">
        <f t="shared" si="5"/>
        <v>165</v>
      </c>
      <c r="R6" s="13">
        <f t="shared" si="6"/>
        <v>607.5</v>
      </c>
      <c r="S6" s="13">
        <f t="shared" si="7"/>
        <v>82.5</v>
      </c>
      <c r="T6" s="11">
        <f t="shared" si="8"/>
        <v>525</v>
      </c>
      <c r="U6" s="2"/>
      <c r="V6" s="3"/>
    </row>
    <row r="7" spans="1:22" x14ac:dyDescent="0.3">
      <c r="A7" s="142">
        <v>4</v>
      </c>
      <c r="B7" s="16">
        <f t="shared" si="9"/>
        <v>4</v>
      </c>
      <c r="C7" s="12">
        <f t="shared" si="10"/>
        <v>160</v>
      </c>
      <c r="D7" s="12">
        <f t="shared" si="0"/>
        <v>600</v>
      </c>
      <c r="E7" s="12">
        <f t="shared" si="11"/>
        <v>100</v>
      </c>
      <c r="F7" s="12">
        <f t="shared" si="1"/>
        <v>200</v>
      </c>
      <c r="G7" s="12">
        <f t="shared" si="12"/>
        <v>264.79000000000002</v>
      </c>
      <c r="H7" s="13">
        <f t="shared" si="13"/>
        <v>305.82000000000005</v>
      </c>
      <c r="I7" s="13">
        <f t="shared" si="14"/>
        <v>268.5</v>
      </c>
      <c r="J7" s="13">
        <f t="shared" si="15"/>
        <v>228.5</v>
      </c>
      <c r="K7" s="13">
        <f t="shared" si="16"/>
        <v>269.75</v>
      </c>
      <c r="L7" s="13">
        <f t="shared" si="17"/>
        <v>259.65999999999997</v>
      </c>
      <c r="M7" s="13">
        <f t="shared" si="18"/>
        <v>389</v>
      </c>
      <c r="N7" s="12">
        <f t="shared" si="2"/>
        <v>176</v>
      </c>
      <c r="O7" s="12">
        <f t="shared" si="3"/>
        <v>810</v>
      </c>
      <c r="P7" s="12">
        <f>E7 + $P$3*E7</f>
        <v>110</v>
      </c>
      <c r="Q7" s="12">
        <f t="shared" si="5"/>
        <v>220</v>
      </c>
      <c r="R7" s="13">
        <f t="shared" si="6"/>
        <v>810</v>
      </c>
      <c r="S7" s="13">
        <f t="shared" si="7"/>
        <v>110</v>
      </c>
      <c r="T7" s="11">
        <f t="shared" si="8"/>
        <v>700</v>
      </c>
      <c r="U7" s="2"/>
      <c r="V7" s="3"/>
    </row>
    <row r="8" spans="1:22" x14ac:dyDescent="0.3">
      <c r="A8" s="142">
        <v>5</v>
      </c>
      <c r="B8" s="16">
        <f t="shared" si="9"/>
        <v>5</v>
      </c>
      <c r="C8" s="12">
        <f t="shared" si="10"/>
        <v>200</v>
      </c>
      <c r="D8" s="12">
        <f t="shared" si="0"/>
        <v>750</v>
      </c>
      <c r="E8" s="12">
        <f t="shared" si="11"/>
        <v>125</v>
      </c>
      <c r="F8" s="12">
        <f t="shared" si="1"/>
        <v>250</v>
      </c>
      <c r="G8" s="12">
        <f t="shared" si="12"/>
        <v>330.05</v>
      </c>
      <c r="H8" s="13">
        <f t="shared" si="13"/>
        <v>381.94000000000005</v>
      </c>
      <c r="I8" s="13">
        <f t="shared" si="14"/>
        <v>335</v>
      </c>
      <c r="J8" s="13">
        <f t="shared" si="15"/>
        <v>285</v>
      </c>
      <c r="K8" s="13">
        <f t="shared" si="16"/>
        <v>336.25</v>
      </c>
      <c r="L8" s="13">
        <f t="shared" si="17"/>
        <v>323.91999999999996</v>
      </c>
      <c r="M8" s="13">
        <f t="shared" si="18"/>
        <v>485.5</v>
      </c>
      <c r="N8" s="12">
        <f t="shared" si="2"/>
        <v>220</v>
      </c>
      <c r="O8" s="12">
        <f t="shared" si="3"/>
        <v>1012.5</v>
      </c>
      <c r="P8" s="12">
        <f t="shared" si="4"/>
        <v>137.5</v>
      </c>
      <c r="Q8" s="12">
        <f t="shared" si="5"/>
        <v>275</v>
      </c>
      <c r="R8" s="13">
        <f t="shared" si="6"/>
        <v>1012.5</v>
      </c>
      <c r="S8" s="13">
        <f t="shared" si="7"/>
        <v>137.5</v>
      </c>
      <c r="T8" s="11">
        <f t="shared" si="8"/>
        <v>875</v>
      </c>
      <c r="U8" s="2"/>
      <c r="V8" s="3"/>
    </row>
    <row r="9" spans="1:22" x14ac:dyDescent="0.3">
      <c r="A9" s="142">
        <v>6</v>
      </c>
      <c r="B9" s="16">
        <f t="shared" si="9"/>
        <v>6</v>
      </c>
      <c r="C9" s="12">
        <f t="shared" si="10"/>
        <v>240</v>
      </c>
      <c r="D9" s="12">
        <f t="shared" si="0"/>
        <v>900</v>
      </c>
      <c r="E9" s="12">
        <f t="shared" si="11"/>
        <v>150</v>
      </c>
      <c r="F9" s="12">
        <f t="shared" si="1"/>
        <v>300</v>
      </c>
      <c r="G9" s="12">
        <f t="shared" si="12"/>
        <v>395.31</v>
      </c>
      <c r="H9" s="13">
        <f t="shared" si="13"/>
        <v>458.06000000000006</v>
      </c>
      <c r="I9" s="13">
        <f t="shared" si="14"/>
        <v>401.5</v>
      </c>
      <c r="J9" s="13">
        <f t="shared" si="15"/>
        <v>341.5</v>
      </c>
      <c r="K9" s="13">
        <f t="shared" si="16"/>
        <v>402.75</v>
      </c>
      <c r="L9" s="13">
        <f t="shared" si="17"/>
        <v>388.17999999999995</v>
      </c>
      <c r="M9" s="13">
        <f t="shared" si="18"/>
        <v>582</v>
      </c>
      <c r="N9" s="12">
        <f t="shared" si="2"/>
        <v>264</v>
      </c>
      <c r="O9" s="12">
        <f t="shared" si="3"/>
        <v>1215</v>
      </c>
      <c r="P9" s="12">
        <f t="shared" si="4"/>
        <v>165</v>
      </c>
      <c r="Q9" s="12">
        <f t="shared" si="5"/>
        <v>330</v>
      </c>
      <c r="R9" s="13">
        <f t="shared" si="6"/>
        <v>1215</v>
      </c>
      <c r="S9" s="13">
        <f t="shared" si="7"/>
        <v>165</v>
      </c>
      <c r="T9" s="11">
        <f t="shared" si="8"/>
        <v>1050</v>
      </c>
      <c r="U9" s="2"/>
      <c r="V9" s="3"/>
    </row>
    <row r="10" spans="1:22" x14ac:dyDescent="0.3">
      <c r="A10" s="142">
        <v>7</v>
      </c>
      <c r="B10" s="16">
        <f t="shared" si="9"/>
        <v>7</v>
      </c>
      <c r="C10" s="12">
        <f t="shared" si="10"/>
        <v>280</v>
      </c>
      <c r="D10" s="12">
        <f t="shared" si="0"/>
        <v>1050</v>
      </c>
      <c r="E10" s="12">
        <f t="shared" si="11"/>
        <v>175</v>
      </c>
      <c r="F10" s="12">
        <f t="shared" si="1"/>
        <v>350</v>
      </c>
      <c r="G10" s="12">
        <f t="shared" si="12"/>
        <v>460.57</v>
      </c>
      <c r="H10" s="13">
        <f t="shared" si="13"/>
        <v>534.18000000000006</v>
      </c>
      <c r="I10" s="13">
        <f t="shared" si="14"/>
        <v>468</v>
      </c>
      <c r="J10" s="13">
        <f t="shared" si="15"/>
        <v>398</v>
      </c>
      <c r="K10" s="13">
        <f t="shared" si="16"/>
        <v>469.25</v>
      </c>
      <c r="L10" s="13">
        <f t="shared" si="17"/>
        <v>452.43999999999994</v>
      </c>
      <c r="M10" s="13">
        <f t="shared" si="18"/>
        <v>678.5</v>
      </c>
      <c r="N10" s="12">
        <f t="shared" si="2"/>
        <v>308</v>
      </c>
      <c r="O10" s="12">
        <f t="shared" si="3"/>
        <v>1417.5</v>
      </c>
      <c r="P10" s="12">
        <f>E10 + $P$3*E10</f>
        <v>192.5</v>
      </c>
      <c r="Q10" s="12">
        <f t="shared" si="5"/>
        <v>385</v>
      </c>
      <c r="R10" s="13">
        <f t="shared" si="6"/>
        <v>1417.5</v>
      </c>
      <c r="S10" s="13">
        <f t="shared" si="7"/>
        <v>192.5</v>
      </c>
      <c r="T10" s="11">
        <f t="shared" si="8"/>
        <v>1225</v>
      </c>
      <c r="U10" s="2"/>
      <c r="V10" s="3"/>
    </row>
    <row r="11" spans="1:22" x14ac:dyDescent="0.3">
      <c r="A11" s="142">
        <v>8</v>
      </c>
      <c r="B11" s="16">
        <f t="shared" si="9"/>
        <v>8</v>
      </c>
      <c r="C11" s="12">
        <f t="shared" si="10"/>
        <v>320</v>
      </c>
      <c r="D11" s="12">
        <f t="shared" si="0"/>
        <v>1200</v>
      </c>
      <c r="E11" s="12">
        <f t="shared" si="11"/>
        <v>200</v>
      </c>
      <c r="F11" s="12">
        <f t="shared" si="1"/>
        <v>400</v>
      </c>
      <c r="G11" s="12">
        <f t="shared" si="12"/>
        <v>525.83000000000004</v>
      </c>
      <c r="H11" s="13">
        <f t="shared" si="13"/>
        <v>610.30000000000007</v>
      </c>
      <c r="I11" s="13">
        <f t="shared" si="14"/>
        <v>534.5</v>
      </c>
      <c r="J11" s="13">
        <f t="shared" si="15"/>
        <v>454.5</v>
      </c>
      <c r="K11" s="13">
        <f t="shared" si="16"/>
        <v>535.75</v>
      </c>
      <c r="L11" s="13">
        <f t="shared" si="17"/>
        <v>516.69999999999993</v>
      </c>
      <c r="M11" s="13">
        <f t="shared" si="18"/>
        <v>775</v>
      </c>
      <c r="N11" s="12">
        <f t="shared" si="2"/>
        <v>352</v>
      </c>
      <c r="O11" s="12">
        <f t="shared" si="3"/>
        <v>1620</v>
      </c>
      <c r="P11" s="12">
        <f t="shared" si="4"/>
        <v>220</v>
      </c>
      <c r="Q11" s="12">
        <f t="shared" si="5"/>
        <v>440</v>
      </c>
      <c r="R11" s="13">
        <f t="shared" si="6"/>
        <v>1620</v>
      </c>
      <c r="S11" s="13">
        <f t="shared" si="7"/>
        <v>220</v>
      </c>
      <c r="T11" s="11">
        <f t="shared" si="8"/>
        <v>1400</v>
      </c>
      <c r="U11" s="2"/>
      <c r="V11" s="3"/>
    </row>
    <row r="12" spans="1:22" x14ac:dyDescent="0.3">
      <c r="A12" s="142">
        <v>9</v>
      </c>
      <c r="B12" s="16">
        <f t="shared" si="9"/>
        <v>9</v>
      </c>
      <c r="C12" s="12">
        <f t="shared" si="10"/>
        <v>360</v>
      </c>
      <c r="D12" s="12">
        <f t="shared" si="0"/>
        <v>1350</v>
      </c>
      <c r="E12" s="12">
        <f t="shared" si="11"/>
        <v>225</v>
      </c>
      <c r="F12" s="12">
        <f t="shared" si="1"/>
        <v>450</v>
      </c>
      <c r="G12" s="12">
        <f t="shared" si="12"/>
        <v>591.09</v>
      </c>
      <c r="H12" s="13">
        <f t="shared" si="13"/>
        <v>686.42000000000007</v>
      </c>
      <c r="I12" s="13">
        <f t="shared" si="14"/>
        <v>601</v>
      </c>
      <c r="J12" s="13">
        <f t="shared" si="15"/>
        <v>511</v>
      </c>
      <c r="K12" s="13">
        <f t="shared" si="16"/>
        <v>602.25</v>
      </c>
      <c r="L12" s="13">
        <f t="shared" si="17"/>
        <v>580.95999999999992</v>
      </c>
      <c r="M12" s="13">
        <f t="shared" si="18"/>
        <v>871.5</v>
      </c>
      <c r="N12" s="12">
        <f t="shared" si="2"/>
        <v>396</v>
      </c>
      <c r="O12" s="12">
        <f t="shared" si="3"/>
        <v>1822.5</v>
      </c>
      <c r="P12" s="12">
        <f t="shared" si="4"/>
        <v>247.5</v>
      </c>
      <c r="Q12" s="12">
        <f t="shared" si="5"/>
        <v>495</v>
      </c>
      <c r="R12" s="13">
        <f t="shared" si="6"/>
        <v>1822.5</v>
      </c>
      <c r="S12" s="13">
        <f t="shared" si="7"/>
        <v>247.5</v>
      </c>
      <c r="T12" s="11">
        <f t="shared" si="8"/>
        <v>1575</v>
      </c>
      <c r="U12" s="2"/>
      <c r="V12" s="3"/>
    </row>
    <row r="13" spans="1:22" x14ac:dyDescent="0.3">
      <c r="A13" s="142">
        <v>10</v>
      </c>
      <c r="B13" s="16">
        <f t="shared" si="9"/>
        <v>10</v>
      </c>
      <c r="C13" s="12">
        <f t="shared" si="10"/>
        <v>400</v>
      </c>
      <c r="D13" s="12">
        <f t="shared" si="0"/>
        <v>1500</v>
      </c>
      <c r="E13" s="12">
        <f t="shared" si="11"/>
        <v>250</v>
      </c>
      <c r="F13" s="12">
        <f t="shared" si="1"/>
        <v>500</v>
      </c>
      <c r="G13" s="12">
        <f t="shared" si="12"/>
        <v>656.35</v>
      </c>
      <c r="H13" s="13">
        <f t="shared" si="13"/>
        <v>762.54000000000008</v>
      </c>
      <c r="I13" s="13">
        <f t="shared" si="14"/>
        <v>667.5</v>
      </c>
      <c r="J13" s="13">
        <f t="shared" si="15"/>
        <v>567.5</v>
      </c>
      <c r="K13" s="13">
        <f t="shared" si="16"/>
        <v>668.75</v>
      </c>
      <c r="L13" s="13">
        <f t="shared" si="17"/>
        <v>645.21999999999991</v>
      </c>
      <c r="M13" s="13">
        <f t="shared" si="18"/>
        <v>968</v>
      </c>
      <c r="N13" s="12">
        <f t="shared" si="2"/>
        <v>440</v>
      </c>
      <c r="O13" s="12">
        <f t="shared" si="3"/>
        <v>2025</v>
      </c>
      <c r="P13" s="12">
        <f t="shared" si="4"/>
        <v>275</v>
      </c>
      <c r="Q13" s="12">
        <f t="shared" si="5"/>
        <v>550</v>
      </c>
      <c r="R13" s="13">
        <f t="shared" si="6"/>
        <v>2025</v>
      </c>
      <c r="S13" s="13">
        <f t="shared" si="7"/>
        <v>275</v>
      </c>
      <c r="T13" s="11">
        <f t="shared" si="8"/>
        <v>1750</v>
      </c>
      <c r="U13" s="2"/>
      <c r="V13" s="3"/>
    </row>
    <row r="14" spans="1:22" x14ac:dyDescent="0.3">
      <c r="A14" s="142">
        <v>11</v>
      </c>
      <c r="B14" s="16">
        <f t="shared" si="9"/>
        <v>11</v>
      </c>
      <c r="C14" s="12">
        <f t="shared" si="10"/>
        <v>440</v>
      </c>
      <c r="D14" s="12">
        <f t="shared" si="0"/>
        <v>1650</v>
      </c>
      <c r="E14" s="12">
        <f t="shared" si="11"/>
        <v>275</v>
      </c>
      <c r="F14" s="12">
        <f t="shared" si="1"/>
        <v>550</v>
      </c>
      <c r="G14" s="12">
        <f t="shared" si="12"/>
        <v>721.61</v>
      </c>
      <c r="H14" s="13">
        <f t="shared" si="13"/>
        <v>838.66000000000008</v>
      </c>
      <c r="I14" s="13">
        <f t="shared" si="14"/>
        <v>734</v>
      </c>
      <c r="J14" s="13">
        <f t="shared" si="15"/>
        <v>624</v>
      </c>
      <c r="K14" s="13">
        <f t="shared" si="16"/>
        <v>735.25</v>
      </c>
      <c r="L14" s="13">
        <f t="shared" si="17"/>
        <v>709.4799999999999</v>
      </c>
      <c r="M14" s="13">
        <f t="shared" si="18"/>
        <v>1064.5</v>
      </c>
      <c r="N14" s="12">
        <f t="shared" si="2"/>
        <v>484</v>
      </c>
      <c r="O14" s="12">
        <f t="shared" si="3"/>
        <v>2227.5</v>
      </c>
      <c r="P14" s="12">
        <f t="shared" si="4"/>
        <v>302.5</v>
      </c>
      <c r="Q14" s="12">
        <f t="shared" si="5"/>
        <v>605</v>
      </c>
      <c r="R14" s="13">
        <f t="shared" si="6"/>
        <v>2227.5</v>
      </c>
      <c r="S14" s="13">
        <f t="shared" si="7"/>
        <v>302.5</v>
      </c>
      <c r="T14" s="11">
        <f t="shared" si="8"/>
        <v>1925</v>
      </c>
      <c r="U14" s="2"/>
      <c r="V14" s="3"/>
    </row>
    <row r="15" spans="1:22" x14ac:dyDescent="0.3">
      <c r="A15" s="142">
        <v>12</v>
      </c>
      <c r="B15" s="16">
        <f t="shared" si="9"/>
        <v>12</v>
      </c>
      <c r="C15" s="12">
        <f t="shared" si="10"/>
        <v>480</v>
      </c>
      <c r="D15" s="12">
        <f t="shared" si="0"/>
        <v>1800</v>
      </c>
      <c r="E15" s="12">
        <f t="shared" si="11"/>
        <v>300</v>
      </c>
      <c r="F15" s="12">
        <f t="shared" si="1"/>
        <v>600</v>
      </c>
      <c r="G15" s="12">
        <f t="shared" si="12"/>
        <v>786.87</v>
      </c>
      <c r="H15" s="13">
        <f t="shared" si="13"/>
        <v>914.78000000000009</v>
      </c>
      <c r="I15" s="13">
        <f t="shared" si="14"/>
        <v>800.5</v>
      </c>
      <c r="J15" s="13">
        <f t="shared" si="15"/>
        <v>680.5</v>
      </c>
      <c r="K15" s="13">
        <f t="shared" si="16"/>
        <v>801.75</v>
      </c>
      <c r="L15" s="13">
        <f t="shared" si="17"/>
        <v>773.7399999999999</v>
      </c>
      <c r="M15" s="13">
        <f t="shared" si="18"/>
        <v>1161</v>
      </c>
      <c r="N15" s="12">
        <f t="shared" si="2"/>
        <v>528</v>
      </c>
      <c r="O15" s="12">
        <f t="shared" si="3"/>
        <v>2430</v>
      </c>
      <c r="P15" s="12">
        <f t="shared" si="4"/>
        <v>330</v>
      </c>
      <c r="Q15" s="12">
        <f t="shared" si="5"/>
        <v>660</v>
      </c>
      <c r="R15" s="13">
        <f t="shared" si="6"/>
        <v>2430</v>
      </c>
      <c r="S15" s="13">
        <f t="shared" si="7"/>
        <v>330</v>
      </c>
      <c r="T15" s="11">
        <f t="shared" si="8"/>
        <v>2100</v>
      </c>
      <c r="U15" s="2"/>
      <c r="V15" s="3"/>
    </row>
    <row r="16" spans="1:22" x14ac:dyDescent="0.3">
      <c r="A16" s="142">
        <v>13</v>
      </c>
      <c r="B16" s="16">
        <f t="shared" si="9"/>
        <v>13</v>
      </c>
      <c r="C16" s="12">
        <f t="shared" si="10"/>
        <v>520</v>
      </c>
      <c r="D16" s="12">
        <f t="shared" si="0"/>
        <v>1950</v>
      </c>
      <c r="E16" s="12">
        <f t="shared" si="11"/>
        <v>325</v>
      </c>
      <c r="F16" s="12">
        <f t="shared" si="1"/>
        <v>650</v>
      </c>
      <c r="G16" s="12">
        <f t="shared" si="12"/>
        <v>852.13</v>
      </c>
      <c r="H16" s="13">
        <f t="shared" si="13"/>
        <v>990.90000000000009</v>
      </c>
      <c r="I16" s="13">
        <f t="shared" si="14"/>
        <v>867</v>
      </c>
      <c r="J16" s="13">
        <f t="shared" si="15"/>
        <v>737</v>
      </c>
      <c r="K16" s="13">
        <f t="shared" si="16"/>
        <v>868.25</v>
      </c>
      <c r="L16" s="13">
        <f t="shared" si="17"/>
        <v>837.99999999999989</v>
      </c>
      <c r="M16" s="13">
        <f t="shared" si="18"/>
        <v>1257.5</v>
      </c>
      <c r="N16" s="12">
        <f t="shared" si="2"/>
        <v>572</v>
      </c>
      <c r="O16" s="12">
        <f t="shared" si="3"/>
        <v>2632.5</v>
      </c>
      <c r="P16" s="12">
        <f t="shared" si="4"/>
        <v>357.5</v>
      </c>
      <c r="Q16" s="12">
        <f t="shared" si="5"/>
        <v>715</v>
      </c>
      <c r="R16" s="13">
        <f t="shared" si="6"/>
        <v>2632.5</v>
      </c>
      <c r="S16" s="13">
        <f t="shared" si="7"/>
        <v>357.5</v>
      </c>
      <c r="T16" s="11">
        <f t="shared" si="8"/>
        <v>2275</v>
      </c>
      <c r="U16" s="2"/>
      <c r="V16" s="3"/>
    </row>
    <row r="17" spans="1:22" x14ac:dyDescent="0.3">
      <c r="A17" s="142">
        <v>14</v>
      </c>
      <c r="B17" s="16">
        <f t="shared" si="9"/>
        <v>14</v>
      </c>
      <c r="C17" s="12">
        <f t="shared" si="10"/>
        <v>560</v>
      </c>
      <c r="D17" s="12">
        <f t="shared" si="0"/>
        <v>2100</v>
      </c>
      <c r="E17" s="12">
        <f t="shared" si="11"/>
        <v>350</v>
      </c>
      <c r="F17" s="12">
        <f t="shared" si="1"/>
        <v>700</v>
      </c>
      <c r="G17" s="12">
        <f t="shared" si="12"/>
        <v>917.39</v>
      </c>
      <c r="H17" s="13">
        <f t="shared" si="13"/>
        <v>1067.02</v>
      </c>
      <c r="I17" s="13">
        <f t="shared" si="14"/>
        <v>933.5</v>
      </c>
      <c r="J17" s="13">
        <f t="shared" si="15"/>
        <v>793.5</v>
      </c>
      <c r="K17" s="13">
        <f t="shared" si="16"/>
        <v>934.75</v>
      </c>
      <c r="L17" s="13">
        <f t="shared" si="17"/>
        <v>902.25999999999988</v>
      </c>
      <c r="M17" s="13">
        <f t="shared" si="18"/>
        <v>1354</v>
      </c>
      <c r="N17" s="12">
        <f t="shared" si="2"/>
        <v>616</v>
      </c>
      <c r="O17" s="12">
        <f t="shared" si="3"/>
        <v>2835</v>
      </c>
      <c r="P17" s="12">
        <f t="shared" si="4"/>
        <v>385</v>
      </c>
      <c r="Q17" s="12">
        <f t="shared" si="5"/>
        <v>770</v>
      </c>
      <c r="R17" s="13">
        <f t="shared" si="6"/>
        <v>2835</v>
      </c>
      <c r="S17" s="13">
        <f t="shared" si="7"/>
        <v>385</v>
      </c>
      <c r="T17" s="11">
        <f t="shared" si="8"/>
        <v>2450</v>
      </c>
      <c r="U17" s="2"/>
      <c r="V17" s="3"/>
    </row>
    <row r="18" spans="1:22" x14ac:dyDescent="0.3">
      <c r="A18" s="142">
        <v>15</v>
      </c>
      <c r="B18" s="16">
        <f t="shared" si="9"/>
        <v>15</v>
      </c>
      <c r="C18" s="12">
        <f t="shared" si="10"/>
        <v>600</v>
      </c>
      <c r="D18" s="12">
        <f t="shared" si="0"/>
        <v>2250</v>
      </c>
      <c r="E18" s="12">
        <f t="shared" si="11"/>
        <v>375</v>
      </c>
      <c r="F18" s="12">
        <f t="shared" si="1"/>
        <v>750</v>
      </c>
      <c r="G18" s="12">
        <f t="shared" si="12"/>
        <v>982.65</v>
      </c>
      <c r="H18" s="13">
        <f t="shared" si="13"/>
        <v>1143.1399999999999</v>
      </c>
      <c r="I18" s="13">
        <f t="shared" si="14"/>
        <v>1000</v>
      </c>
      <c r="J18" s="13">
        <f t="shared" si="15"/>
        <v>850</v>
      </c>
      <c r="K18" s="13">
        <f t="shared" si="16"/>
        <v>1001.25</v>
      </c>
      <c r="L18" s="13">
        <f t="shared" si="17"/>
        <v>966.51999999999987</v>
      </c>
      <c r="M18" s="13">
        <f t="shared" si="18"/>
        <v>1450.5</v>
      </c>
      <c r="N18" s="12">
        <f t="shared" si="2"/>
        <v>660</v>
      </c>
      <c r="O18" s="12">
        <f t="shared" si="3"/>
        <v>3037.5</v>
      </c>
      <c r="P18" s="12">
        <f t="shared" si="4"/>
        <v>412.5</v>
      </c>
      <c r="Q18" s="12">
        <f t="shared" si="5"/>
        <v>825</v>
      </c>
      <c r="R18" s="13">
        <f t="shared" si="6"/>
        <v>3037.5</v>
      </c>
      <c r="S18" s="13">
        <f t="shared" si="7"/>
        <v>412.5</v>
      </c>
      <c r="T18" s="11">
        <f t="shared" si="8"/>
        <v>2625</v>
      </c>
      <c r="U18" s="2"/>
      <c r="V18" s="3"/>
    </row>
    <row r="19" spans="1:22" x14ac:dyDescent="0.3">
      <c r="A19" s="142">
        <v>16</v>
      </c>
      <c r="B19" s="16">
        <f t="shared" si="9"/>
        <v>16</v>
      </c>
      <c r="C19" s="12">
        <f t="shared" si="10"/>
        <v>640</v>
      </c>
      <c r="D19" s="12">
        <f t="shared" si="0"/>
        <v>2400</v>
      </c>
      <c r="E19" s="12">
        <f t="shared" si="11"/>
        <v>400</v>
      </c>
      <c r="F19" s="12">
        <f t="shared" si="1"/>
        <v>800</v>
      </c>
      <c r="G19" s="12">
        <f t="shared" si="12"/>
        <v>1047.9100000000001</v>
      </c>
      <c r="H19" s="13">
        <f t="shared" si="13"/>
        <v>1219.2599999999998</v>
      </c>
      <c r="I19" s="13">
        <f t="shared" si="14"/>
        <v>1066.5</v>
      </c>
      <c r="J19" s="13">
        <f t="shared" si="15"/>
        <v>906.5</v>
      </c>
      <c r="K19" s="13">
        <f t="shared" si="16"/>
        <v>1067.75</v>
      </c>
      <c r="L19" s="13">
        <f t="shared" si="17"/>
        <v>1030.78</v>
      </c>
      <c r="M19" s="13">
        <f t="shared" si="18"/>
        <v>1547</v>
      </c>
      <c r="N19" s="12">
        <f t="shared" si="2"/>
        <v>704</v>
      </c>
      <c r="O19" s="12">
        <f t="shared" si="3"/>
        <v>3240</v>
      </c>
      <c r="P19" s="12">
        <f t="shared" si="4"/>
        <v>440</v>
      </c>
      <c r="Q19" s="12">
        <f t="shared" si="5"/>
        <v>880</v>
      </c>
      <c r="R19" s="13">
        <f t="shared" si="6"/>
        <v>3240</v>
      </c>
      <c r="S19" s="13">
        <f t="shared" si="7"/>
        <v>440</v>
      </c>
      <c r="T19" s="11">
        <f t="shared" si="8"/>
        <v>2800</v>
      </c>
      <c r="U19" s="2"/>
      <c r="V19" s="3"/>
    </row>
    <row r="20" spans="1:22" x14ac:dyDescent="0.3">
      <c r="A20" s="142">
        <v>17</v>
      </c>
      <c r="B20" s="16">
        <f t="shared" si="9"/>
        <v>17</v>
      </c>
      <c r="C20" s="12">
        <f t="shared" si="10"/>
        <v>680</v>
      </c>
      <c r="D20" s="12">
        <f t="shared" si="0"/>
        <v>2550</v>
      </c>
      <c r="E20" s="12">
        <f t="shared" si="11"/>
        <v>425</v>
      </c>
      <c r="F20" s="12">
        <f t="shared" si="1"/>
        <v>850</v>
      </c>
      <c r="G20" s="12">
        <f t="shared" si="12"/>
        <v>1113.17</v>
      </c>
      <c r="H20" s="13">
        <f t="shared" si="13"/>
        <v>1295.3799999999997</v>
      </c>
      <c r="I20" s="13">
        <f t="shared" si="14"/>
        <v>1133</v>
      </c>
      <c r="J20" s="13">
        <f t="shared" si="15"/>
        <v>963</v>
      </c>
      <c r="K20" s="13">
        <f t="shared" si="16"/>
        <v>1134.25</v>
      </c>
      <c r="L20" s="13">
        <f t="shared" si="17"/>
        <v>1095.04</v>
      </c>
      <c r="M20" s="13">
        <f t="shared" si="18"/>
        <v>1643.5</v>
      </c>
      <c r="N20" s="12">
        <f t="shared" si="2"/>
        <v>748</v>
      </c>
      <c r="O20" s="12">
        <f t="shared" si="3"/>
        <v>3442.5</v>
      </c>
      <c r="P20" s="12">
        <f t="shared" si="4"/>
        <v>467.5</v>
      </c>
      <c r="Q20" s="12">
        <f t="shared" si="5"/>
        <v>935</v>
      </c>
      <c r="R20" s="13">
        <f t="shared" si="6"/>
        <v>3442.5</v>
      </c>
      <c r="S20" s="13">
        <f t="shared" si="7"/>
        <v>467.5</v>
      </c>
      <c r="T20" s="11">
        <f t="shared" si="8"/>
        <v>2975</v>
      </c>
      <c r="U20" s="2"/>
      <c r="V20" s="3"/>
    </row>
    <row r="21" spans="1:22" x14ac:dyDescent="0.3">
      <c r="A21" s="142">
        <v>18</v>
      </c>
      <c r="B21" s="16">
        <f t="shared" si="9"/>
        <v>18</v>
      </c>
      <c r="C21" s="12">
        <f t="shared" si="10"/>
        <v>720</v>
      </c>
      <c r="D21" s="12">
        <f t="shared" si="0"/>
        <v>2700</v>
      </c>
      <c r="E21" s="12">
        <f t="shared" si="11"/>
        <v>450</v>
      </c>
      <c r="F21" s="12">
        <f t="shared" si="1"/>
        <v>900</v>
      </c>
      <c r="G21" s="12">
        <f t="shared" si="12"/>
        <v>1178.43</v>
      </c>
      <c r="H21" s="13">
        <f t="shared" si="13"/>
        <v>1371.4999999999995</v>
      </c>
      <c r="I21" s="13">
        <f t="shared" si="14"/>
        <v>1199.5</v>
      </c>
      <c r="J21" s="13">
        <f t="shared" si="15"/>
        <v>1019.5</v>
      </c>
      <c r="K21" s="13">
        <f t="shared" si="16"/>
        <v>1200.75</v>
      </c>
      <c r="L21" s="13">
        <f t="shared" si="17"/>
        <v>1159.3</v>
      </c>
      <c r="M21" s="13">
        <f t="shared" si="18"/>
        <v>1740</v>
      </c>
      <c r="N21" s="12">
        <f t="shared" si="2"/>
        <v>792</v>
      </c>
      <c r="O21" s="12">
        <f t="shared" si="3"/>
        <v>3645</v>
      </c>
      <c r="P21" s="12">
        <f t="shared" si="4"/>
        <v>495</v>
      </c>
      <c r="Q21" s="12">
        <f t="shared" si="5"/>
        <v>990</v>
      </c>
      <c r="R21" s="13">
        <f t="shared" si="6"/>
        <v>3645</v>
      </c>
      <c r="S21" s="13">
        <f t="shared" si="7"/>
        <v>495</v>
      </c>
      <c r="T21" s="11">
        <f t="shared" si="8"/>
        <v>3150</v>
      </c>
      <c r="U21" s="2"/>
      <c r="V21" s="3"/>
    </row>
    <row r="22" spans="1:22" x14ac:dyDescent="0.3">
      <c r="A22" s="142">
        <v>19</v>
      </c>
      <c r="B22" s="16">
        <f t="shared" si="9"/>
        <v>19</v>
      </c>
      <c r="C22" s="12">
        <f t="shared" si="10"/>
        <v>760</v>
      </c>
      <c r="D22" s="12">
        <f t="shared" si="0"/>
        <v>2850</v>
      </c>
      <c r="E22" s="12">
        <f t="shared" si="11"/>
        <v>475</v>
      </c>
      <c r="F22" s="12">
        <f t="shared" si="1"/>
        <v>950</v>
      </c>
      <c r="G22" s="12">
        <f t="shared" si="12"/>
        <v>1243.69</v>
      </c>
      <c r="H22" s="13">
        <f t="shared" si="13"/>
        <v>1447.6199999999994</v>
      </c>
      <c r="I22" s="13">
        <f t="shared" si="14"/>
        <v>1266</v>
      </c>
      <c r="J22" s="13">
        <f t="shared" si="15"/>
        <v>1076</v>
      </c>
      <c r="K22" s="13">
        <f t="shared" si="16"/>
        <v>1267.25</v>
      </c>
      <c r="L22" s="13">
        <f t="shared" si="17"/>
        <v>1223.56</v>
      </c>
      <c r="M22" s="13">
        <f t="shared" si="18"/>
        <v>1836.5</v>
      </c>
      <c r="N22" s="12">
        <f t="shared" si="2"/>
        <v>836</v>
      </c>
      <c r="O22" s="12">
        <f t="shared" si="3"/>
        <v>3847.5</v>
      </c>
      <c r="P22" s="12">
        <f t="shared" si="4"/>
        <v>522.5</v>
      </c>
      <c r="Q22" s="12">
        <f t="shared" si="5"/>
        <v>1045</v>
      </c>
      <c r="R22" s="13">
        <f t="shared" si="6"/>
        <v>3847.5</v>
      </c>
      <c r="S22" s="13">
        <f t="shared" si="7"/>
        <v>522.5</v>
      </c>
      <c r="T22" s="11">
        <f t="shared" si="8"/>
        <v>3325</v>
      </c>
      <c r="U22" s="2"/>
      <c r="V22" s="3"/>
    </row>
    <row r="23" spans="1:22" x14ac:dyDescent="0.3">
      <c r="A23" s="142">
        <v>20</v>
      </c>
      <c r="B23" s="16">
        <f t="shared" si="9"/>
        <v>20</v>
      </c>
      <c r="C23" s="12">
        <f t="shared" si="10"/>
        <v>800</v>
      </c>
      <c r="D23" s="12">
        <f t="shared" si="0"/>
        <v>3000</v>
      </c>
      <c r="E23" s="12">
        <f t="shared" si="11"/>
        <v>500</v>
      </c>
      <c r="F23" s="12">
        <f t="shared" si="1"/>
        <v>1000</v>
      </c>
      <c r="G23" s="12">
        <f t="shared" si="12"/>
        <v>1308.95</v>
      </c>
      <c r="H23" s="13">
        <f t="shared" si="13"/>
        <v>1523.7399999999993</v>
      </c>
      <c r="I23" s="13">
        <f t="shared" si="14"/>
        <v>1332.5</v>
      </c>
      <c r="J23" s="13">
        <f t="shared" si="15"/>
        <v>1132.5</v>
      </c>
      <c r="K23" s="13">
        <f t="shared" si="16"/>
        <v>1333.75</v>
      </c>
      <c r="L23" s="13">
        <f t="shared" si="17"/>
        <v>1287.82</v>
      </c>
      <c r="M23" s="13">
        <f t="shared" si="18"/>
        <v>1933</v>
      </c>
      <c r="N23" s="12">
        <f t="shared" si="2"/>
        <v>880</v>
      </c>
      <c r="O23" s="12">
        <f t="shared" si="3"/>
        <v>4050</v>
      </c>
      <c r="P23" s="12">
        <f t="shared" si="4"/>
        <v>550</v>
      </c>
      <c r="Q23" s="12">
        <f t="shared" si="5"/>
        <v>1100</v>
      </c>
      <c r="R23" s="13">
        <f t="shared" si="6"/>
        <v>4050</v>
      </c>
      <c r="S23" s="13">
        <f t="shared" si="7"/>
        <v>550</v>
      </c>
      <c r="T23" s="11">
        <f t="shared" si="8"/>
        <v>3500</v>
      </c>
      <c r="U23" s="2"/>
      <c r="V23" s="3"/>
    </row>
    <row r="24" spans="1:22" x14ac:dyDescent="0.3">
      <c r="A24" s="142">
        <v>21</v>
      </c>
      <c r="B24" s="16">
        <f t="shared" si="9"/>
        <v>21</v>
      </c>
      <c r="C24" s="12">
        <f t="shared" si="10"/>
        <v>840</v>
      </c>
      <c r="D24" s="12">
        <f t="shared" si="0"/>
        <v>3150</v>
      </c>
      <c r="E24" s="12">
        <f t="shared" si="11"/>
        <v>525</v>
      </c>
      <c r="F24" s="12">
        <f t="shared" si="1"/>
        <v>1050</v>
      </c>
      <c r="G24" s="12">
        <f t="shared" si="12"/>
        <v>1374.21</v>
      </c>
      <c r="H24" s="13">
        <f t="shared" si="13"/>
        <v>1599.8599999999992</v>
      </c>
      <c r="I24" s="13">
        <f t="shared" si="14"/>
        <v>1399</v>
      </c>
      <c r="J24" s="13">
        <f t="shared" si="15"/>
        <v>1189</v>
      </c>
      <c r="K24" s="13">
        <f t="shared" si="16"/>
        <v>1400.25</v>
      </c>
      <c r="L24" s="13">
        <f t="shared" si="17"/>
        <v>1352.08</v>
      </c>
      <c r="M24" s="13">
        <f t="shared" si="18"/>
        <v>2029.5</v>
      </c>
      <c r="N24" s="12">
        <f t="shared" si="2"/>
        <v>924</v>
      </c>
      <c r="O24" s="12">
        <f t="shared" si="3"/>
        <v>4252.5</v>
      </c>
      <c r="P24" s="12">
        <f t="shared" si="4"/>
        <v>577.5</v>
      </c>
      <c r="Q24" s="12">
        <f t="shared" si="5"/>
        <v>1155</v>
      </c>
      <c r="R24" s="13">
        <f t="shared" si="6"/>
        <v>4252.5</v>
      </c>
      <c r="S24" s="13">
        <f t="shared" si="7"/>
        <v>577.5</v>
      </c>
      <c r="T24" s="11">
        <f t="shared" si="8"/>
        <v>3675</v>
      </c>
      <c r="U24" s="2"/>
      <c r="V24" s="3"/>
    </row>
    <row r="25" spans="1:22" x14ac:dyDescent="0.3">
      <c r="A25" s="142">
        <v>22</v>
      </c>
      <c r="B25" s="16">
        <f t="shared" si="9"/>
        <v>22</v>
      </c>
      <c r="C25" s="12">
        <f t="shared" si="10"/>
        <v>880</v>
      </c>
      <c r="D25" s="12">
        <f t="shared" si="0"/>
        <v>3300</v>
      </c>
      <c r="E25" s="12">
        <f t="shared" si="11"/>
        <v>550</v>
      </c>
      <c r="F25" s="12">
        <f t="shared" si="1"/>
        <v>1100</v>
      </c>
      <c r="G25" s="12">
        <f t="shared" si="12"/>
        <v>1439.47</v>
      </c>
      <c r="H25" s="13">
        <f t="shared" si="13"/>
        <v>1675.9799999999991</v>
      </c>
      <c r="I25" s="13">
        <f t="shared" si="14"/>
        <v>1465.5</v>
      </c>
      <c r="J25" s="13">
        <f t="shared" si="15"/>
        <v>1245.5</v>
      </c>
      <c r="K25" s="13">
        <f t="shared" si="16"/>
        <v>1466.75</v>
      </c>
      <c r="L25" s="13">
        <f t="shared" si="17"/>
        <v>1416.34</v>
      </c>
      <c r="M25" s="13">
        <f t="shared" si="18"/>
        <v>2126</v>
      </c>
      <c r="N25" s="12">
        <f t="shared" si="2"/>
        <v>968</v>
      </c>
      <c r="O25" s="12">
        <f t="shared" si="3"/>
        <v>4455</v>
      </c>
      <c r="P25" s="12">
        <f t="shared" si="4"/>
        <v>605</v>
      </c>
      <c r="Q25" s="12">
        <f t="shared" si="5"/>
        <v>1210</v>
      </c>
      <c r="R25" s="13">
        <f t="shared" si="6"/>
        <v>4455</v>
      </c>
      <c r="S25" s="13">
        <f t="shared" si="7"/>
        <v>605</v>
      </c>
      <c r="T25" s="11">
        <f t="shared" si="8"/>
        <v>3850</v>
      </c>
      <c r="U25" s="2"/>
      <c r="V25" s="3"/>
    </row>
    <row r="26" spans="1:22" x14ac:dyDescent="0.3">
      <c r="A26" s="142">
        <v>23</v>
      </c>
      <c r="B26" s="16">
        <f t="shared" si="9"/>
        <v>23</v>
      </c>
      <c r="C26" s="12">
        <f t="shared" si="10"/>
        <v>920</v>
      </c>
      <c r="D26" s="12">
        <f t="shared" si="0"/>
        <v>3450</v>
      </c>
      <c r="E26" s="12">
        <f t="shared" si="11"/>
        <v>575</v>
      </c>
      <c r="F26" s="12">
        <f t="shared" si="1"/>
        <v>1150</v>
      </c>
      <c r="G26" s="12">
        <f t="shared" si="12"/>
        <v>1504.73</v>
      </c>
      <c r="H26" s="13">
        <f t="shared" si="13"/>
        <v>1752.099999999999</v>
      </c>
      <c r="I26" s="13">
        <f t="shared" si="14"/>
        <v>1532</v>
      </c>
      <c r="J26" s="13">
        <f t="shared" si="15"/>
        <v>1302</v>
      </c>
      <c r="K26" s="13">
        <f t="shared" si="16"/>
        <v>1533.25</v>
      </c>
      <c r="L26" s="13">
        <f t="shared" si="17"/>
        <v>1480.6</v>
      </c>
      <c r="M26" s="13">
        <f t="shared" si="18"/>
        <v>2222.5</v>
      </c>
      <c r="N26" s="12">
        <f t="shared" si="2"/>
        <v>1012</v>
      </c>
      <c r="O26" s="12">
        <f t="shared" si="3"/>
        <v>4657.5</v>
      </c>
      <c r="P26" s="12">
        <f t="shared" si="4"/>
        <v>632.5</v>
      </c>
      <c r="Q26" s="12">
        <f t="shared" si="5"/>
        <v>1265</v>
      </c>
      <c r="R26" s="13">
        <f t="shared" si="6"/>
        <v>4657.5</v>
      </c>
      <c r="S26" s="13">
        <f t="shared" si="7"/>
        <v>632.5</v>
      </c>
      <c r="T26" s="11">
        <f t="shared" si="8"/>
        <v>4025</v>
      </c>
      <c r="U26" s="2"/>
      <c r="V26" s="3"/>
    </row>
    <row r="27" spans="1:22" x14ac:dyDescent="0.3">
      <c r="A27" s="142">
        <v>24</v>
      </c>
      <c r="B27" s="16">
        <f t="shared" si="9"/>
        <v>24</v>
      </c>
      <c r="C27" s="12">
        <f t="shared" si="10"/>
        <v>960</v>
      </c>
      <c r="D27" s="12">
        <f t="shared" si="0"/>
        <v>3600</v>
      </c>
      <c r="E27" s="12">
        <f t="shared" si="11"/>
        <v>600</v>
      </c>
      <c r="F27" s="12">
        <f t="shared" si="1"/>
        <v>1200</v>
      </c>
      <c r="G27" s="12">
        <f t="shared" si="12"/>
        <v>1569.99</v>
      </c>
      <c r="H27" s="13">
        <f t="shared" si="13"/>
        <v>1828.2199999999989</v>
      </c>
      <c r="I27" s="13">
        <f t="shared" si="14"/>
        <v>1598.5</v>
      </c>
      <c r="J27" s="13">
        <f t="shared" si="15"/>
        <v>1358.5</v>
      </c>
      <c r="K27" s="13">
        <f t="shared" si="16"/>
        <v>1599.75</v>
      </c>
      <c r="L27" s="13">
        <f t="shared" si="17"/>
        <v>1544.86</v>
      </c>
      <c r="M27" s="13">
        <f t="shared" si="18"/>
        <v>2319</v>
      </c>
      <c r="N27" s="12">
        <f t="shared" si="2"/>
        <v>1056</v>
      </c>
      <c r="O27" s="12">
        <f t="shared" si="3"/>
        <v>4860</v>
      </c>
      <c r="P27" s="12">
        <f t="shared" si="4"/>
        <v>660</v>
      </c>
      <c r="Q27" s="12">
        <f t="shared" si="5"/>
        <v>1320</v>
      </c>
      <c r="R27" s="13">
        <f t="shared" si="6"/>
        <v>4860</v>
      </c>
      <c r="S27" s="13">
        <f t="shared" si="7"/>
        <v>660</v>
      </c>
      <c r="T27" s="11">
        <f t="shared" si="8"/>
        <v>4200</v>
      </c>
      <c r="U27" s="2"/>
      <c r="V27" s="3"/>
    </row>
    <row r="28" spans="1:22" x14ac:dyDescent="0.3">
      <c r="A28" s="142">
        <v>25</v>
      </c>
      <c r="B28" s="16">
        <f t="shared" si="9"/>
        <v>25</v>
      </c>
      <c r="C28" s="12">
        <f t="shared" si="10"/>
        <v>1000</v>
      </c>
      <c r="D28" s="12">
        <f t="shared" si="0"/>
        <v>3750</v>
      </c>
      <c r="E28" s="12">
        <f t="shared" si="11"/>
        <v>625</v>
      </c>
      <c r="F28" s="12">
        <f t="shared" si="1"/>
        <v>1250</v>
      </c>
      <c r="G28" s="12">
        <f t="shared" si="12"/>
        <v>1635.25</v>
      </c>
      <c r="H28" s="13">
        <f t="shared" si="13"/>
        <v>1904.3399999999988</v>
      </c>
      <c r="I28" s="13">
        <f t="shared" si="14"/>
        <v>1665</v>
      </c>
      <c r="J28" s="13">
        <f t="shared" si="15"/>
        <v>1415</v>
      </c>
      <c r="K28" s="13">
        <f t="shared" si="16"/>
        <v>1666.25</v>
      </c>
      <c r="L28" s="13">
        <f t="shared" si="17"/>
        <v>1609.12</v>
      </c>
      <c r="M28" s="13">
        <f t="shared" si="18"/>
        <v>2415.5</v>
      </c>
      <c r="N28" s="12">
        <f t="shared" si="2"/>
        <v>1100</v>
      </c>
      <c r="O28" s="12">
        <f t="shared" si="3"/>
        <v>5062.5</v>
      </c>
      <c r="P28" s="12">
        <f t="shared" si="4"/>
        <v>687.5</v>
      </c>
      <c r="Q28" s="12">
        <f t="shared" si="5"/>
        <v>1375</v>
      </c>
      <c r="R28" s="13">
        <f t="shared" si="6"/>
        <v>5062.5</v>
      </c>
      <c r="S28" s="13">
        <f t="shared" si="7"/>
        <v>687.5</v>
      </c>
      <c r="T28" s="11">
        <f t="shared" si="8"/>
        <v>4375</v>
      </c>
      <c r="U28" s="2"/>
      <c r="V28" s="3"/>
    </row>
    <row r="29" spans="1:22" x14ac:dyDescent="0.3">
      <c r="A29" s="142">
        <v>26</v>
      </c>
      <c r="B29" s="16">
        <f t="shared" si="9"/>
        <v>26</v>
      </c>
      <c r="C29" s="12">
        <f t="shared" si="10"/>
        <v>1040</v>
      </c>
      <c r="D29" s="12">
        <f t="shared" si="0"/>
        <v>3900</v>
      </c>
      <c r="E29" s="12">
        <f t="shared" si="11"/>
        <v>650</v>
      </c>
      <c r="F29" s="12">
        <f t="shared" si="1"/>
        <v>1300</v>
      </c>
      <c r="G29" s="12">
        <f t="shared" si="12"/>
        <v>1700.51</v>
      </c>
      <c r="H29" s="13">
        <f t="shared" si="13"/>
        <v>1980.4599999999987</v>
      </c>
      <c r="I29" s="13">
        <f t="shared" si="14"/>
        <v>1731.5</v>
      </c>
      <c r="J29" s="13">
        <f t="shared" si="15"/>
        <v>1471.5</v>
      </c>
      <c r="K29" s="13">
        <f t="shared" si="16"/>
        <v>1732.75</v>
      </c>
      <c r="L29" s="13">
        <f t="shared" si="17"/>
        <v>1673.3799999999999</v>
      </c>
      <c r="M29" s="13">
        <f t="shared" si="18"/>
        <v>2512</v>
      </c>
      <c r="N29" s="12">
        <f t="shared" si="2"/>
        <v>1144</v>
      </c>
      <c r="O29" s="12">
        <f t="shared" si="3"/>
        <v>5265</v>
      </c>
      <c r="P29" s="12">
        <f t="shared" si="4"/>
        <v>715</v>
      </c>
      <c r="Q29" s="12">
        <f t="shared" si="5"/>
        <v>1430</v>
      </c>
      <c r="R29" s="13">
        <f t="shared" si="6"/>
        <v>5265</v>
      </c>
      <c r="S29" s="13">
        <f t="shared" si="7"/>
        <v>715</v>
      </c>
      <c r="T29" s="11">
        <f t="shared" si="8"/>
        <v>4550</v>
      </c>
      <c r="U29" s="2"/>
      <c r="V29" s="3"/>
    </row>
    <row r="30" spans="1:22" x14ac:dyDescent="0.3">
      <c r="A30" s="142">
        <v>27</v>
      </c>
      <c r="B30" s="16">
        <f t="shared" si="9"/>
        <v>27</v>
      </c>
      <c r="C30" s="12">
        <f t="shared" si="10"/>
        <v>1080</v>
      </c>
      <c r="D30" s="12">
        <f t="shared" si="0"/>
        <v>4050</v>
      </c>
      <c r="E30" s="12">
        <f t="shared" si="11"/>
        <v>675</v>
      </c>
      <c r="F30" s="12">
        <f t="shared" si="1"/>
        <v>1350</v>
      </c>
      <c r="G30" s="12">
        <f t="shared" si="12"/>
        <v>1765.77</v>
      </c>
      <c r="H30" s="13">
        <f t="shared" si="13"/>
        <v>2056.5799999999986</v>
      </c>
      <c r="I30" s="13">
        <f t="shared" si="14"/>
        <v>1798</v>
      </c>
      <c r="J30" s="13">
        <f t="shared" si="15"/>
        <v>1528</v>
      </c>
      <c r="K30" s="13">
        <f t="shared" si="16"/>
        <v>1799.25</v>
      </c>
      <c r="L30" s="13">
        <f t="shared" si="17"/>
        <v>1737.6399999999999</v>
      </c>
      <c r="M30" s="13">
        <f t="shared" si="18"/>
        <v>2608.5</v>
      </c>
      <c r="N30" s="12">
        <f t="shared" si="2"/>
        <v>1188</v>
      </c>
      <c r="O30" s="12">
        <f t="shared" si="3"/>
        <v>5467.5</v>
      </c>
      <c r="P30" s="12">
        <f t="shared" si="4"/>
        <v>742.5</v>
      </c>
      <c r="Q30" s="12">
        <f t="shared" si="5"/>
        <v>1485</v>
      </c>
      <c r="R30" s="13">
        <f t="shared" si="6"/>
        <v>5467.5</v>
      </c>
      <c r="S30" s="13">
        <f t="shared" si="7"/>
        <v>742.5</v>
      </c>
      <c r="T30" s="11">
        <f t="shared" si="8"/>
        <v>4725</v>
      </c>
      <c r="U30" s="2"/>
      <c r="V30" s="3"/>
    </row>
    <row r="31" spans="1:22" x14ac:dyDescent="0.3">
      <c r="A31" s="142">
        <v>28</v>
      </c>
      <c r="B31" s="16">
        <f t="shared" si="9"/>
        <v>28</v>
      </c>
      <c r="C31" s="12">
        <f t="shared" si="10"/>
        <v>1120</v>
      </c>
      <c r="D31" s="12">
        <f t="shared" si="0"/>
        <v>4200</v>
      </c>
      <c r="E31" s="12">
        <f t="shared" si="11"/>
        <v>700</v>
      </c>
      <c r="F31" s="12">
        <f t="shared" si="1"/>
        <v>1400</v>
      </c>
      <c r="G31" s="12">
        <f t="shared" si="12"/>
        <v>1831.03</v>
      </c>
      <c r="H31" s="13">
        <f t="shared" si="13"/>
        <v>2132.6999999999985</v>
      </c>
      <c r="I31" s="13">
        <f t="shared" si="14"/>
        <v>1864.5</v>
      </c>
      <c r="J31" s="13">
        <f t="shared" si="15"/>
        <v>1584.5</v>
      </c>
      <c r="K31" s="13">
        <f t="shared" si="16"/>
        <v>1865.75</v>
      </c>
      <c r="L31" s="13">
        <f t="shared" si="17"/>
        <v>1801.8999999999999</v>
      </c>
      <c r="M31" s="13">
        <f t="shared" si="18"/>
        <v>2705</v>
      </c>
      <c r="N31" s="12">
        <f t="shared" si="2"/>
        <v>1232</v>
      </c>
      <c r="O31" s="12">
        <f t="shared" si="3"/>
        <v>5670</v>
      </c>
      <c r="P31" s="12">
        <f t="shared" si="4"/>
        <v>770</v>
      </c>
      <c r="Q31" s="12">
        <f t="shared" si="5"/>
        <v>1540</v>
      </c>
      <c r="R31" s="13">
        <f t="shared" si="6"/>
        <v>5670</v>
      </c>
      <c r="S31" s="13">
        <f t="shared" si="7"/>
        <v>770</v>
      </c>
      <c r="T31" s="11">
        <f t="shared" si="8"/>
        <v>4900</v>
      </c>
      <c r="U31" s="2"/>
      <c r="V31" s="3"/>
    </row>
    <row r="32" spans="1:22" x14ac:dyDescent="0.3">
      <c r="A32" s="142">
        <v>29</v>
      </c>
      <c r="B32" s="16">
        <f t="shared" si="9"/>
        <v>29</v>
      </c>
      <c r="C32" s="12">
        <f t="shared" si="10"/>
        <v>1160</v>
      </c>
      <c r="D32" s="12">
        <f t="shared" si="0"/>
        <v>4350</v>
      </c>
      <c r="E32" s="12">
        <f t="shared" si="11"/>
        <v>725</v>
      </c>
      <c r="F32" s="12">
        <f t="shared" si="1"/>
        <v>1450</v>
      </c>
      <c r="G32" s="12">
        <f t="shared" si="12"/>
        <v>1896.29</v>
      </c>
      <c r="H32" s="13">
        <f t="shared" si="13"/>
        <v>2208.8199999999983</v>
      </c>
      <c r="I32" s="13">
        <f t="shared" si="14"/>
        <v>1931</v>
      </c>
      <c r="J32" s="13">
        <f t="shared" si="15"/>
        <v>1641</v>
      </c>
      <c r="K32" s="13">
        <f t="shared" si="16"/>
        <v>1932.25</v>
      </c>
      <c r="L32" s="13">
        <f t="shared" si="17"/>
        <v>1866.1599999999999</v>
      </c>
      <c r="M32" s="13">
        <f t="shared" si="18"/>
        <v>2801.5</v>
      </c>
      <c r="N32" s="12">
        <f t="shared" si="2"/>
        <v>1276</v>
      </c>
      <c r="O32" s="12">
        <f t="shared" si="3"/>
        <v>5872.5</v>
      </c>
      <c r="P32" s="12">
        <f t="shared" si="4"/>
        <v>797.5</v>
      </c>
      <c r="Q32" s="12">
        <f t="shared" si="5"/>
        <v>1595</v>
      </c>
      <c r="R32" s="13">
        <f t="shared" si="6"/>
        <v>5872.5</v>
      </c>
      <c r="S32" s="13">
        <f t="shared" si="7"/>
        <v>797.5</v>
      </c>
      <c r="T32" s="11">
        <f t="shared" si="8"/>
        <v>5075</v>
      </c>
      <c r="U32" s="2"/>
      <c r="V32" s="3"/>
    </row>
    <row r="33" spans="1:22" x14ac:dyDescent="0.3">
      <c r="A33" s="142">
        <v>30</v>
      </c>
      <c r="B33" s="16">
        <f t="shared" si="9"/>
        <v>30</v>
      </c>
      <c r="C33" s="12">
        <f t="shared" si="10"/>
        <v>1200</v>
      </c>
      <c r="D33" s="12">
        <f t="shared" si="0"/>
        <v>4500</v>
      </c>
      <c r="E33" s="12">
        <f t="shared" si="11"/>
        <v>750</v>
      </c>
      <c r="F33" s="12">
        <f t="shared" si="1"/>
        <v>1500</v>
      </c>
      <c r="G33" s="12">
        <f t="shared" si="12"/>
        <v>1961.55</v>
      </c>
      <c r="H33" s="13">
        <f t="shared" si="13"/>
        <v>2284.9399999999982</v>
      </c>
      <c r="I33" s="13">
        <f t="shared" si="14"/>
        <v>1997.5</v>
      </c>
      <c r="J33" s="13">
        <f t="shared" si="15"/>
        <v>1697.5</v>
      </c>
      <c r="K33" s="13">
        <f t="shared" si="16"/>
        <v>1998.75</v>
      </c>
      <c r="L33" s="13">
        <f t="shared" si="17"/>
        <v>1930.4199999999998</v>
      </c>
      <c r="M33" s="13">
        <f t="shared" si="18"/>
        <v>2898</v>
      </c>
      <c r="N33" s="12">
        <f t="shared" si="2"/>
        <v>1320</v>
      </c>
      <c r="O33" s="12">
        <f t="shared" si="3"/>
        <v>6075</v>
      </c>
      <c r="P33" s="12">
        <f t="shared" si="4"/>
        <v>825</v>
      </c>
      <c r="Q33" s="12">
        <f t="shared" si="5"/>
        <v>1650</v>
      </c>
      <c r="R33" s="13">
        <f t="shared" si="6"/>
        <v>6075</v>
      </c>
      <c r="S33" s="13">
        <f t="shared" si="7"/>
        <v>825</v>
      </c>
      <c r="T33" s="11">
        <f t="shared" si="8"/>
        <v>5250</v>
      </c>
      <c r="U33" s="2"/>
      <c r="V33" s="3"/>
    </row>
    <row r="34" spans="1:22" x14ac:dyDescent="0.3">
      <c r="A34" s="142">
        <v>31</v>
      </c>
      <c r="B34" s="16">
        <f t="shared" si="9"/>
        <v>31</v>
      </c>
      <c r="C34" s="12">
        <f t="shared" si="10"/>
        <v>1240</v>
      </c>
      <c r="D34" s="12">
        <f t="shared" si="0"/>
        <v>4650</v>
      </c>
      <c r="E34" s="12">
        <f t="shared" si="11"/>
        <v>775</v>
      </c>
      <c r="F34" s="12">
        <f t="shared" si="1"/>
        <v>1550</v>
      </c>
      <c r="G34" s="12">
        <f t="shared" si="12"/>
        <v>2026.81</v>
      </c>
      <c r="H34" s="13">
        <f t="shared" si="13"/>
        <v>2361.0599999999981</v>
      </c>
      <c r="I34" s="13">
        <f t="shared" si="14"/>
        <v>2064</v>
      </c>
      <c r="J34" s="13">
        <f t="shared" si="15"/>
        <v>1754</v>
      </c>
      <c r="K34" s="13">
        <f t="shared" si="16"/>
        <v>2065.25</v>
      </c>
      <c r="L34" s="13">
        <f t="shared" si="17"/>
        <v>1994.6799999999998</v>
      </c>
      <c r="M34" s="13">
        <f t="shared" si="18"/>
        <v>2994.5</v>
      </c>
      <c r="N34" s="12">
        <f t="shared" si="2"/>
        <v>1364</v>
      </c>
      <c r="O34" s="12">
        <f t="shared" si="3"/>
        <v>6277.5</v>
      </c>
      <c r="P34" s="12">
        <f t="shared" si="4"/>
        <v>852.5</v>
      </c>
      <c r="Q34" s="12">
        <f t="shared" si="5"/>
        <v>1705</v>
      </c>
      <c r="R34" s="13">
        <f t="shared" si="6"/>
        <v>6277.5</v>
      </c>
      <c r="S34" s="13">
        <f t="shared" si="7"/>
        <v>852.5</v>
      </c>
      <c r="T34" s="11">
        <f t="shared" si="8"/>
        <v>5425</v>
      </c>
      <c r="U34" s="2"/>
      <c r="V34" s="3"/>
    </row>
    <row r="35" spans="1:22" x14ac:dyDescent="0.3">
      <c r="A35" s="142">
        <v>32</v>
      </c>
      <c r="B35" s="16">
        <f t="shared" si="9"/>
        <v>32</v>
      </c>
      <c r="C35" s="12">
        <f t="shared" si="10"/>
        <v>1280</v>
      </c>
      <c r="D35" s="12">
        <f t="shared" si="0"/>
        <v>4800</v>
      </c>
      <c r="E35" s="12">
        <f t="shared" si="11"/>
        <v>800</v>
      </c>
      <c r="F35" s="12">
        <f t="shared" si="1"/>
        <v>1600</v>
      </c>
      <c r="G35" s="12">
        <f t="shared" si="12"/>
        <v>2092.0700000000002</v>
      </c>
      <c r="H35" s="13">
        <f t="shared" si="13"/>
        <v>2437.179999999998</v>
      </c>
      <c r="I35" s="13">
        <f t="shared" si="14"/>
        <v>2130.5</v>
      </c>
      <c r="J35" s="13">
        <f t="shared" si="15"/>
        <v>1810.5</v>
      </c>
      <c r="K35" s="13">
        <f t="shared" si="16"/>
        <v>2131.75</v>
      </c>
      <c r="L35" s="13">
        <f t="shared" si="17"/>
        <v>2058.94</v>
      </c>
      <c r="M35" s="13">
        <f t="shared" si="18"/>
        <v>3091</v>
      </c>
      <c r="N35" s="12">
        <f t="shared" si="2"/>
        <v>1408</v>
      </c>
      <c r="O35" s="12">
        <f t="shared" si="3"/>
        <v>6480</v>
      </c>
      <c r="P35" s="12">
        <f t="shared" si="4"/>
        <v>880</v>
      </c>
      <c r="Q35" s="12">
        <f t="shared" si="5"/>
        <v>1760</v>
      </c>
      <c r="R35" s="13">
        <f t="shared" si="6"/>
        <v>6480</v>
      </c>
      <c r="S35" s="13">
        <f t="shared" si="7"/>
        <v>880</v>
      </c>
      <c r="T35" s="11">
        <f t="shared" si="8"/>
        <v>5600</v>
      </c>
      <c r="U35" s="2"/>
      <c r="V35" s="3"/>
    </row>
    <row r="36" spans="1:22" x14ac:dyDescent="0.3">
      <c r="A36" s="142">
        <v>33</v>
      </c>
      <c r="B36" s="16">
        <f t="shared" si="9"/>
        <v>33</v>
      </c>
      <c r="C36" s="12">
        <f t="shared" si="10"/>
        <v>1320</v>
      </c>
      <c r="D36" s="12">
        <f t="shared" ref="D36:D53" si="19">B36*$D$3</f>
        <v>4950</v>
      </c>
      <c r="E36" s="12">
        <f t="shared" si="11"/>
        <v>825</v>
      </c>
      <c r="F36" s="12">
        <f t="shared" ref="F36:F53" si="20">B36*$F$3</f>
        <v>1650</v>
      </c>
      <c r="G36" s="12">
        <f t="shared" si="12"/>
        <v>2157.3300000000004</v>
      </c>
      <c r="H36" s="13">
        <f t="shared" si="13"/>
        <v>2513.2999999999979</v>
      </c>
      <c r="I36" s="13">
        <f t="shared" si="14"/>
        <v>2197</v>
      </c>
      <c r="J36" s="13">
        <f t="shared" si="15"/>
        <v>1867</v>
      </c>
      <c r="K36" s="13">
        <f t="shared" si="16"/>
        <v>2198.25</v>
      </c>
      <c r="L36" s="13">
        <f t="shared" si="17"/>
        <v>2123.2000000000003</v>
      </c>
      <c r="M36" s="13">
        <f t="shared" si="18"/>
        <v>3187.5</v>
      </c>
      <c r="N36" s="12">
        <f t="shared" ref="N36:N53" si="21">C36 + $N$3*C36</f>
        <v>1452</v>
      </c>
      <c r="O36" s="12">
        <f t="shared" ref="O36:O53" si="22">D36 + $O$3*D36</f>
        <v>6682.5</v>
      </c>
      <c r="P36" s="12">
        <f t="shared" ref="P36:P53" si="23">E36 + $P$3*E36</f>
        <v>907.5</v>
      </c>
      <c r="Q36" s="12">
        <f t="shared" ref="Q36:Q53" si="24">F36 + $Q$3*F36</f>
        <v>1815</v>
      </c>
      <c r="R36" s="13">
        <f t="shared" ref="R36:R53" si="25">MAX(N36, O36, G36:Q36)</f>
        <v>6682.5</v>
      </c>
      <c r="S36" s="13">
        <f t="shared" ref="S36:S53" si="26">MIN(N36, O36, G36:Q36)</f>
        <v>907.5</v>
      </c>
      <c r="T36" s="11">
        <f t="shared" si="8"/>
        <v>5775</v>
      </c>
      <c r="U36" s="2"/>
      <c r="V36" s="3"/>
    </row>
    <row r="37" spans="1:22" x14ac:dyDescent="0.3">
      <c r="A37" s="142">
        <v>34</v>
      </c>
      <c r="B37" s="16">
        <f t="shared" si="9"/>
        <v>34</v>
      </c>
      <c r="C37" s="12">
        <f t="shared" si="10"/>
        <v>1360</v>
      </c>
      <c r="D37" s="12">
        <f t="shared" si="19"/>
        <v>5100</v>
      </c>
      <c r="E37" s="12">
        <f t="shared" si="11"/>
        <v>850</v>
      </c>
      <c r="F37" s="12">
        <f t="shared" si="20"/>
        <v>1700</v>
      </c>
      <c r="G37" s="12">
        <f t="shared" si="12"/>
        <v>2222.5900000000006</v>
      </c>
      <c r="H37" s="13">
        <f t="shared" si="13"/>
        <v>2589.4199999999978</v>
      </c>
      <c r="I37" s="13">
        <f t="shared" si="14"/>
        <v>2263.5</v>
      </c>
      <c r="J37" s="13">
        <f t="shared" si="15"/>
        <v>1923.5</v>
      </c>
      <c r="K37" s="13">
        <f t="shared" si="16"/>
        <v>2264.75</v>
      </c>
      <c r="L37" s="13">
        <f t="shared" si="17"/>
        <v>2187.4600000000005</v>
      </c>
      <c r="M37" s="13">
        <f t="shared" si="18"/>
        <v>3284</v>
      </c>
      <c r="N37" s="12">
        <f t="shared" si="21"/>
        <v>1496</v>
      </c>
      <c r="O37" s="12">
        <f t="shared" si="22"/>
        <v>6885</v>
      </c>
      <c r="P37" s="12">
        <f t="shared" si="23"/>
        <v>935</v>
      </c>
      <c r="Q37" s="12">
        <f t="shared" si="24"/>
        <v>1870</v>
      </c>
      <c r="R37" s="13">
        <f t="shared" si="25"/>
        <v>6885</v>
      </c>
      <c r="S37" s="13">
        <f t="shared" si="26"/>
        <v>935</v>
      </c>
      <c r="T37" s="11">
        <f t="shared" si="8"/>
        <v>5950</v>
      </c>
      <c r="U37" s="2"/>
      <c r="V37" s="3"/>
    </row>
    <row r="38" spans="1:22" x14ac:dyDescent="0.3">
      <c r="A38" s="142">
        <v>35</v>
      </c>
      <c r="B38" s="16">
        <f t="shared" si="9"/>
        <v>35</v>
      </c>
      <c r="C38" s="12">
        <f t="shared" si="10"/>
        <v>1400</v>
      </c>
      <c r="D38" s="12">
        <f t="shared" si="19"/>
        <v>5250</v>
      </c>
      <c r="E38" s="12">
        <f t="shared" si="11"/>
        <v>875</v>
      </c>
      <c r="F38" s="12">
        <f t="shared" si="20"/>
        <v>1750</v>
      </c>
      <c r="G38" s="12">
        <f t="shared" si="12"/>
        <v>2287.8500000000008</v>
      </c>
      <c r="H38" s="13">
        <f t="shared" si="13"/>
        <v>2665.5399999999977</v>
      </c>
      <c r="I38" s="13">
        <f t="shared" si="14"/>
        <v>2330</v>
      </c>
      <c r="J38" s="13">
        <f t="shared" si="15"/>
        <v>1980</v>
      </c>
      <c r="K38" s="13">
        <f t="shared" si="16"/>
        <v>2331.25</v>
      </c>
      <c r="L38" s="13">
        <f t="shared" si="17"/>
        <v>2251.7200000000007</v>
      </c>
      <c r="M38" s="13">
        <f t="shared" si="18"/>
        <v>3380.5</v>
      </c>
      <c r="N38" s="12">
        <f t="shared" si="21"/>
        <v>1540</v>
      </c>
      <c r="O38" s="12">
        <f t="shared" si="22"/>
        <v>7087.5</v>
      </c>
      <c r="P38" s="12">
        <f t="shared" si="23"/>
        <v>962.5</v>
      </c>
      <c r="Q38" s="12">
        <f t="shared" si="24"/>
        <v>1925</v>
      </c>
      <c r="R38" s="13">
        <f t="shared" si="25"/>
        <v>7087.5</v>
      </c>
      <c r="S38" s="13">
        <f t="shared" si="26"/>
        <v>962.5</v>
      </c>
      <c r="T38" s="11">
        <f t="shared" si="8"/>
        <v>6125</v>
      </c>
      <c r="U38" s="2"/>
      <c r="V38" s="3"/>
    </row>
    <row r="39" spans="1:22" x14ac:dyDescent="0.3">
      <c r="A39" s="142">
        <v>36</v>
      </c>
      <c r="B39" s="16">
        <f t="shared" si="9"/>
        <v>36</v>
      </c>
      <c r="C39" s="12">
        <f t="shared" si="10"/>
        <v>1440</v>
      </c>
      <c r="D39" s="12">
        <f t="shared" si="19"/>
        <v>5400</v>
      </c>
      <c r="E39" s="12">
        <f t="shared" si="11"/>
        <v>900</v>
      </c>
      <c r="F39" s="12">
        <f t="shared" si="20"/>
        <v>1800</v>
      </c>
      <c r="G39" s="12">
        <f t="shared" si="12"/>
        <v>2353.110000000001</v>
      </c>
      <c r="H39" s="13">
        <f t="shared" si="13"/>
        <v>2741.6599999999976</v>
      </c>
      <c r="I39" s="13">
        <f t="shared" si="14"/>
        <v>2396.5</v>
      </c>
      <c r="J39" s="13">
        <f t="shared" si="15"/>
        <v>2036.5</v>
      </c>
      <c r="K39" s="13">
        <f t="shared" si="16"/>
        <v>2397.75</v>
      </c>
      <c r="L39" s="13">
        <f t="shared" si="17"/>
        <v>2315.9800000000009</v>
      </c>
      <c r="M39" s="13">
        <f t="shared" si="18"/>
        <v>3477</v>
      </c>
      <c r="N39" s="12">
        <f t="shared" si="21"/>
        <v>1584</v>
      </c>
      <c r="O39" s="12">
        <f t="shared" si="22"/>
        <v>7290</v>
      </c>
      <c r="P39" s="12">
        <f t="shared" si="23"/>
        <v>990</v>
      </c>
      <c r="Q39" s="12">
        <f t="shared" si="24"/>
        <v>1980</v>
      </c>
      <c r="R39" s="13">
        <f t="shared" si="25"/>
        <v>7290</v>
      </c>
      <c r="S39" s="13">
        <f t="shared" si="26"/>
        <v>990</v>
      </c>
      <c r="T39" s="11">
        <f t="shared" si="8"/>
        <v>6300</v>
      </c>
      <c r="U39" s="2"/>
      <c r="V39" s="3"/>
    </row>
    <row r="40" spans="1:22" x14ac:dyDescent="0.3">
      <c r="A40" s="142">
        <v>37</v>
      </c>
      <c r="B40" s="16">
        <f t="shared" si="9"/>
        <v>37</v>
      </c>
      <c r="C40" s="12">
        <f t="shared" si="10"/>
        <v>1480</v>
      </c>
      <c r="D40" s="12">
        <f t="shared" si="19"/>
        <v>5550</v>
      </c>
      <c r="E40" s="12">
        <f t="shared" si="11"/>
        <v>925</v>
      </c>
      <c r="F40" s="12">
        <f t="shared" si="20"/>
        <v>1850</v>
      </c>
      <c r="G40" s="12">
        <f t="shared" si="12"/>
        <v>2418.3700000000013</v>
      </c>
      <c r="H40" s="13">
        <f t="shared" si="13"/>
        <v>2817.7799999999975</v>
      </c>
      <c r="I40" s="13">
        <f t="shared" si="14"/>
        <v>2463</v>
      </c>
      <c r="J40" s="13">
        <f t="shared" si="15"/>
        <v>2093</v>
      </c>
      <c r="K40" s="13">
        <f t="shared" si="16"/>
        <v>2464.25</v>
      </c>
      <c r="L40" s="13">
        <f t="shared" si="17"/>
        <v>2380.2400000000011</v>
      </c>
      <c r="M40" s="13">
        <f t="shared" si="18"/>
        <v>3573.5</v>
      </c>
      <c r="N40" s="12">
        <f t="shared" si="21"/>
        <v>1628</v>
      </c>
      <c r="O40" s="12">
        <f t="shared" si="22"/>
        <v>7492.5</v>
      </c>
      <c r="P40" s="12">
        <f t="shared" si="23"/>
        <v>1017.5</v>
      </c>
      <c r="Q40" s="12">
        <f t="shared" si="24"/>
        <v>2035</v>
      </c>
      <c r="R40" s="13">
        <f t="shared" si="25"/>
        <v>7492.5</v>
      </c>
      <c r="S40" s="13">
        <f t="shared" si="26"/>
        <v>1017.5</v>
      </c>
      <c r="T40" s="11">
        <f t="shared" si="8"/>
        <v>6475</v>
      </c>
      <c r="U40" s="2"/>
      <c r="V40" s="3"/>
    </row>
    <row r="41" spans="1:22" x14ac:dyDescent="0.3">
      <c r="A41" s="142">
        <v>38</v>
      </c>
      <c r="B41" s="16">
        <f t="shared" si="9"/>
        <v>38</v>
      </c>
      <c r="C41" s="12">
        <f t="shared" si="10"/>
        <v>1520</v>
      </c>
      <c r="D41" s="12">
        <f t="shared" si="19"/>
        <v>5700</v>
      </c>
      <c r="E41" s="12">
        <f t="shared" si="11"/>
        <v>950</v>
      </c>
      <c r="F41" s="12">
        <f t="shared" si="20"/>
        <v>1900</v>
      </c>
      <c r="G41" s="12">
        <f t="shared" si="12"/>
        <v>2483.6300000000015</v>
      </c>
      <c r="H41" s="13">
        <f t="shared" si="13"/>
        <v>2893.8999999999974</v>
      </c>
      <c r="I41" s="13">
        <f t="shared" si="14"/>
        <v>2529.5</v>
      </c>
      <c r="J41" s="13">
        <f t="shared" si="15"/>
        <v>2149.5</v>
      </c>
      <c r="K41" s="13">
        <f t="shared" si="16"/>
        <v>2530.75</v>
      </c>
      <c r="L41" s="13">
        <f t="shared" si="17"/>
        <v>2444.5000000000014</v>
      </c>
      <c r="M41" s="13">
        <f t="shared" si="18"/>
        <v>3670</v>
      </c>
      <c r="N41" s="12">
        <f t="shared" si="21"/>
        <v>1672</v>
      </c>
      <c r="O41" s="12">
        <f t="shared" si="22"/>
        <v>7695</v>
      </c>
      <c r="P41" s="12">
        <f t="shared" si="23"/>
        <v>1045</v>
      </c>
      <c r="Q41" s="12">
        <f t="shared" si="24"/>
        <v>2090</v>
      </c>
      <c r="R41" s="13">
        <f t="shared" si="25"/>
        <v>7695</v>
      </c>
      <c r="S41" s="13">
        <f t="shared" si="26"/>
        <v>1045</v>
      </c>
      <c r="T41" s="11">
        <f t="shared" si="8"/>
        <v>6650</v>
      </c>
      <c r="U41" s="2"/>
      <c r="V41" s="3"/>
    </row>
    <row r="42" spans="1:22" x14ac:dyDescent="0.3">
      <c r="A42" s="142">
        <v>39</v>
      </c>
      <c r="B42" s="16">
        <f t="shared" si="9"/>
        <v>39</v>
      </c>
      <c r="C42" s="12">
        <f t="shared" si="10"/>
        <v>1560</v>
      </c>
      <c r="D42" s="12">
        <f t="shared" si="19"/>
        <v>5850</v>
      </c>
      <c r="E42" s="12">
        <f t="shared" si="11"/>
        <v>975</v>
      </c>
      <c r="F42" s="12">
        <f t="shared" si="20"/>
        <v>1950</v>
      </c>
      <c r="G42" s="12">
        <f t="shared" si="12"/>
        <v>2548.8900000000017</v>
      </c>
      <c r="H42" s="13">
        <f t="shared" si="13"/>
        <v>2970.0199999999973</v>
      </c>
      <c r="I42" s="13">
        <f t="shared" si="14"/>
        <v>2596</v>
      </c>
      <c r="J42" s="13">
        <f t="shared" si="15"/>
        <v>2206</v>
      </c>
      <c r="K42" s="13">
        <f t="shared" si="16"/>
        <v>2597.25</v>
      </c>
      <c r="L42" s="13">
        <f t="shared" si="17"/>
        <v>2508.7600000000016</v>
      </c>
      <c r="M42" s="13">
        <f t="shared" si="18"/>
        <v>3766.5</v>
      </c>
      <c r="N42" s="12">
        <f t="shared" si="21"/>
        <v>1716</v>
      </c>
      <c r="O42" s="12">
        <f t="shared" si="22"/>
        <v>7897.5</v>
      </c>
      <c r="P42" s="12">
        <f t="shared" si="23"/>
        <v>1072.5</v>
      </c>
      <c r="Q42" s="12">
        <f t="shared" si="24"/>
        <v>2145</v>
      </c>
      <c r="R42" s="13">
        <f t="shared" si="25"/>
        <v>7897.5</v>
      </c>
      <c r="S42" s="13">
        <f t="shared" si="26"/>
        <v>1072.5</v>
      </c>
      <c r="T42" s="11">
        <f t="shared" si="8"/>
        <v>6825</v>
      </c>
      <c r="U42" s="2"/>
      <c r="V42" s="3"/>
    </row>
    <row r="43" spans="1:22" x14ac:dyDescent="0.3">
      <c r="A43" s="142">
        <v>40</v>
      </c>
      <c r="B43" s="16">
        <f t="shared" si="9"/>
        <v>40</v>
      </c>
      <c r="C43" s="12">
        <f t="shared" si="10"/>
        <v>1600</v>
      </c>
      <c r="D43" s="12">
        <f t="shared" si="19"/>
        <v>6000</v>
      </c>
      <c r="E43" s="12">
        <f t="shared" si="11"/>
        <v>1000</v>
      </c>
      <c r="F43" s="12">
        <f t="shared" si="20"/>
        <v>2000</v>
      </c>
      <c r="G43" s="12">
        <f t="shared" si="12"/>
        <v>2614.1500000000019</v>
      </c>
      <c r="H43" s="13">
        <f t="shared" si="13"/>
        <v>3046.1399999999971</v>
      </c>
      <c r="I43" s="13">
        <f t="shared" si="14"/>
        <v>2662.5</v>
      </c>
      <c r="J43" s="13">
        <f t="shared" si="15"/>
        <v>2262.5</v>
      </c>
      <c r="K43" s="13">
        <f t="shared" si="16"/>
        <v>2663.75</v>
      </c>
      <c r="L43" s="13">
        <f t="shared" si="17"/>
        <v>2573.0200000000018</v>
      </c>
      <c r="M43" s="13">
        <f t="shared" si="18"/>
        <v>3863</v>
      </c>
      <c r="N43" s="12">
        <f t="shared" si="21"/>
        <v>1760</v>
      </c>
      <c r="O43" s="12">
        <f t="shared" si="22"/>
        <v>8100</v>
      </c>
      <c r="P43" s="12">
        <f t="shared" si="23"/>
        <v>1100</v>
      </c>
      <c r="Q43" s="12">
        <f t="shared" si="24"/>
        <v>2200</v>
      </c>
      <c r="R43" s="13">
        <f t="shared" si="25"/>
        <v>8100</v>
      </c>
      <c r="S43" s="13">
        <f t="shared" si="26"/>
        <v>1100</v>
      </c>
      <c r="T43" s="11">
        <f t="shared" si="8"/>
        <v>7000</v>
      </c>
      <c r="U43" s="2"/>
      <c r="V43" s="3"/>
    </row>
    <row r="44" spans="1:22" x14ac:dyDescent="0.3">
      <c r="A44" s="142">
        <v>41</v>
      </c>
      <c r="B44" s="16">
        <f t="shared" si="9"/>
        <v>41</v>
      </c>
      <c r="C44" s="12">
        <f t="shared" si="10"/>
        <v>1640</v>
      </c>
      <c r="D44" s="12">
        <f t="shared" si="19"/>
        <v>6150</v>
      </c>
      <c r="E44" s="12">
        <f t="shared" si="11"/>
        <v>1025</v>
      </c>
      <c r="F44" s="12">
        <f t="shared" si="20"/>
        <v>2050</v>
      </c>
      <c r="G44" s="12">
        <f t="shared" si="12"/>
        <v>2679.4100000000021</v>
      </c>
      <c r="H44" s="13">
        <f t="shared" si="13"/>
        <v>3122.259999999997</v>
      </c>
      <c r="I44" s="13">
        <f t="shared" si="14"/>
        <v>2729</v>
      </c>
      <c r="J44" s="13">
        <f t="shared" si="15"/>
        <v>2319</v>
      </c>
      <c r="K44" s="13">
        <f t="shared" si="16"/>
        <v>2730.25</v>
      </c>
      <c r="L44" s="13">
        <f t="shared" si="17"/>
        <v>2637.280000000002</v>
      </c>
      <c r="M44" s="13">
        <f t="shared" si="18"/>
        <v>3959.5</v>
      </c>
      <c r="N44" s="12">
        <f t="shared" si="21"/>
        <v>1804</v>
      </c>
      <c r="O44" s="12">
        <f t="shared" si="22"/>
        <v>8302.5</v>
      </c>
      <c r="P44" s="12">
        <f t="shared" si="23"/>
        <v>1127.5</v>
      </c>
      <c r="Q44" s="12">
        <f t="shared" si="24"/>
        <v>2255</v>
      </c>
      <c r="R44" s="13">
        <f t="shared" si="25"/>
        <v>8302.5</v>
      </c>
      <c r="S44" s="13">
        <f t="shared" si="26"/>
        <v>1127.5</v>
      </c>
      <c r="T44" s="11">
        <f t="shared" si="8"/>
        <v>7175</v>
      </c>
      <c r="U44" s="2"/>
      <c r="V44" s="3"/>
    </row>
    <row r="45" spans="1:22" x14ac:dyDescent="0.3">
      <c r="A45" s="142">
        <v>42</v>
      </c>
      <c r="B45" s="16">
        <f t="shared" si="9"/>
        <v>42</v>
      </c>
      <c r="C45" s="12">
        <f t="shared" si="10"/>
        <v>1680</v>
      </c>
      <c r="D45" s="12">
        <f t="shared" si="19"/>
        <v>6300</v>
      </c>
      <c r="E45" s="12">
        <f t="shared" si="11"/>
        <v>1050</v>
      </c>
      <c r="F45" s="12">
        <f t="shared" si="20"/>
        <v>2100</v>
      </c>
      <c r="G45" s="12">
        <f t="shared" si="12"/>
        <v>2744.6700000000023</v>
      </c>
      <c r="H45" s="13">
        <f t="shared" si="13"/>
        <v>3198.3799999999969</v>
      </c>
      <c r="I45" s="13">
        <f t="shared" si="14"/>
        <v>2795.5</v>
      </c>
      <c r="J45" s="13">
        <f t="shared" si="15"/>
        <v>2375.5</v>
      </c>
      <c r="K45" s="13">
        <f t="shared" si="16"/>
        <v>2796.75</v>
      </c>
      <c r="L45" s="13">
        <f t="shared" si="17"/>
        <v>2701.5400000000022</v>
      </c>
      <c r="M45" s="13">
        <f t="shared" si="18"/>
        <v>4056</v>
      </c>
      <c r="N45" s="12">
        <f t="shared" si="21"/>
        <v>1848</v>
      </c>
      <c r="O45" s="12">
        <f t="shared" si="22"/>
        <v>8505</v>
      </c>
      <c r="P45" s="12">
        <f t="shared" si="23"/>
        <v>1155</v>
      </c>
      <c r="Q45" s="12">
        <f t="shared" si="24"/>
        <v>2310</v>
      </c>
      <c r="R45" s="13">
        <f t="shared" si="25"/>
        <v>8505</v>
      </c>
      <c r="S45" s="13">
        <f t="shared" si="26"/>
        <v>1155</v>
      </c>
      <c r="T45" s="11">
        <f t="shared" si="8"/>
        <v>7350</v>
      </c>
      <c r="U45" s="2"/>
      <c r="V45" s="3"/>
    </row>
    <row r="46" spans="1:22" x14ac:dyDescent="0.3">
      <c r="A46" s="142">
        <v>43</v>
      </c>
      <c r="B46" s="16">
        <f t="shared" si="9"/>
        <v>43</v>
      </c>
      <c r="C46" s="12">
        <f t="shared" si="10"/>
        <v>1720</v>
      </c>
      <c r="D46" s="12">
        <f t="shared" si="19"/>
        <v>6450</v>
      </c>
      <c r="E46" s="12">
        <f t="shared" si="11"/>
        <v>1075</v>
      </c>
      <c r="F46" s="12">
        <f t="shared" si="20"/>
        <v>2150</v>
      </c>
      <c r="G46" s="12">
        <f t="shared" si="12"/>
        <v>2809.9300000000026</v>
      </c>
      <c r="H46" s="13">
        <f t="shared" si="13"/>
        <v>3274.4999999999968</v>
      </c>
      <c r="I46" s="13">
        <f t="shared" si="14"/>
        <v>2862</v>
      </c>
      <c r="J46" s="13">
        <f t="shared" si="15"/>
        <v>2432</v>
      </c>
      <c r="K46" s="13">
        <f t="shared" si="16"/>
        <v>2863.25</v>
      </c>
      <c r="L46" s="13">
        <f t="shared" si="17"/>
        <v>2765.8000000000025</v>
      </c>
      <c r="M46" s="13">
        <f t="shared" si="18"/>
        <v>4152.5</v>
      </c>
      <c r="N46" s="12">
        <f t="shared" si="21"/>
        <v>1892</v>
      </c>
      <c r="O46" s="12">
        <f t="shared" si="22"/>
        <v>8707.5</v>
      </c>
      <c r="P46" s="12">
        <f t="shared" si="23"/>
        <v>1182.5</v>
      </c>
      <c r="Q46" s="12">
        <f t="shared" si="24"/>
        <v>2365</v>
      </c>
      <c r="R46" s="13">
        <f t="shared" si="25"/>
        <v>8707.5</v>
      </c>
      <c r="S46" s="13">
        <f t="shared" si="26"/>
        <v>1182.5</v>
      </c>
      <c r="T46" s="11">
        <f t="shared" si="8"/>
        <v>7525</v>
      </c>
      <c r="U46" s="2"/>
      <c r="V46" s="3"/>
    </row>
    <row r="47" spans="1:22" x14ac:dyDescent="0.3">
      <c r="A47" s="142">
        <v>44</v>
      </c>
      <c r="B47" s="16">
        <f t="shared" si="9"/>
        <v>44</v>
      </c>
      <c r="C47" s="12">
        <f t="shared" si="10"/>
        <v>1760</v>
      </c>
      <c r="D47" s="12">
        <f t="shared" si="19"/>
        <v>6600</v>
      </c>
      <c r="E47" s="12">
        <f t="shared" si="11"/>
        <v>1100</v>
      </c>
      <c r="F47" s="12">
        <f t="shared" si="20"/>
        <v>2200</v>
      </c>
      <c r="G47" s="12">
        <f t="shared" si="12"/>
        <v>2875.1900000000028</v>
      </c>
      <c r="H47" s="13">
        <f t="shared" si="13"/>
        <v>3350.6199999999967</v>
      </c>
      <c r="I47" s="13">
        <f t="shared" si="14"/>
        <v>2928.5</v>
      </c>
      <c r="J47" s="13">
        <f t="shared" si="15"/>
        <v>2488.5</v>
      </c>
      <c r="K47" s="13">
        <f t="shared" si="16"/>
        <v>2929.75</v>
      </c>
      <c r="L47" s="13">
        <f t="shared" si="17"/>
        <v>2830.0600000000027</v>
      </c>
      <c r="M47" s="13">
        <f t="shared" si="18"/>
        <v>4249</v>
      </c>
      <c r="N47" s="12">
        <f t="shared" si="21"/>
        <v>1936</v>
      </c>
      <c r="O47" s="12">
        <f t="shared" si="22"/>
        <v>8910</v>
      </c>
      <c r="P47" s="12">
        <f t="shared" si="23"/>
        <v>1210</v>
      </c>
      <c r="Q47" s="12">
        <f t="shared" si="24"/>
        <v>2420</v>
      </c>
      <c r="R47" s="13">
        <f t="shared" si="25"/>
        <v>8910</v>
      </c>
      <c r="S47" s="13">
        <f t="shared" si="26"/>
        <v>1210</v>
      </c>
      <c r="T47" s="11">
        <f t="shared" si="8"/>
        <v>7700</v>
      </c>
      <c r="U47" s="2"/>
      <c r="V47" s="3"/>
    </row>
    <row r="48" spans="1:22" x14ac:dyDescent="0.3">
      <c r="A48" s="142">
        <v>45</v>
      </c>
      <c r="B48" s="16">
        <f t="shared" si="9"/>
        <v>45</v>
      </c>
      <c r="C48" s="12">
        <f t="shared" si="10"/>
        <v>1800</v>
      </c>
      <c r="D48" s="12">
        <f t="shared" si="19"/>
        <v>6750</v>
      </c>
      <c r="E48" s="12">
        <f t="shared" si="11"/>
        <v>1125</v>
      </c>
      <c r="F48" s="12">
        <f t="shared" si="20"/>
        <v>2250</v>
      </c>
      <c r="G48" s="12">
        <f t="shared" si="12"/>
        <v>2940.450000000003</v>
      </c>
      <c r="H48" s="13">
        <f t="shared" si="13"/>
        <v>3426.7399999999966</v>
      </c>
      <c r="I48" s="13">
        <f t="shared" si="14"/>
        <v>2995</v>
      </c>
      <c r="J48" s="13">
        <f t="shared" si="15"/>
        <v>2545</v>
      </c>
      <c r="K48" s="13">
        <f t="shared" si="16"/>
        <v>2996.25</v>
      </c>
      <c r="L48" s="13">
        <f t="shared" si="17"/>
        <v>2894.3200000000029</v>
      </c>
      <c r="M48" s="13">
        <f t="shared" si="18"/>
        <v>4345.5</v>
      </c>
      <c r="N48" s="12">
        <f t="shared" si="21"/>
        <v>1980</v>
      </c>
      <c r="O48" s="12">
        <f t="shared" si="22"/>
        <v>9112.5</v>
      </c>
      <c r="P48" s="12">
        <f t="shared" si="23"/>
        <v>1237.5</v>
      </c>
      <c r="Q48" s="12">
        <f t="shared" si="24"/>
        <v>2475</v>
      </c>
      <c r="R48" s="13">
        <f t="shared" si="25"/>
        <v>9112.5</v>
      </c>
      <c r="S48" s="13">
        <f t="shared" si="26"/>
        <v>1237.5</v>
      </c>
      <c r="T48" s="11">
        <f t="shared" si="8"/>
        <v>7875</v>
      </c>
      <c r="U48" s="2"/>
      <c r="V48" s="3"/>
    </row>
    <row r="49" spans="1:22" x14ac:dyDescent="0.3">
      <c r="A49" s="142">
        <v>46</v>
      </c>
      <c r="B49" s="16">
        <f t="shared" si="9"/>
        <v>46</v>
      </c>
      <c r="C49" s="12">
        <f t="shared" si="10"/>
        <v>1840</v>
      </c>
      <c r="D49" s="12">
        <f t="shared" si="19"/>
        <v>6900</v>
      </c>
      <c r="E49" s="12">
        <f t="shared" si="11"/>
        <v>1150</v>
      </c>
      <c r="F49" s="12">
        <f t="shared" si="20"/>
        <v>2300</v>
      </c>
      <c r="G49" s="12">
        <f t="shared" si="12"/>
        <v>3005.7100000000032</v>
      </c>
      <c r="H49" s="13">
        <f t="shared" si="13"/>
        <v>3502.8599999999965</v>
      </c>
      <c r="I49" s="13">
        <f t="shared" si="14"/>
        <v>3061.5</v>
      </c>
      <c r="J49" s="13">
        <f t="shared" si="15"/>
        <v>2601.5</v>
      </c>
      <c r="K49" s="13">
        <f t="shared" si="16"/>
        <v>3062.75</v>
      </c>
      <c r="L49" s="13">
        <f t="shared" si="17"/>
        <v>2958.5800000000031</v>
      </c>
      <c r="M49" s="13">
        <f t="shared" si="18"/>
        <v>4442</v>
      </c>
      <c r="N49" s="12">
        <f t="shared" si="21"/>
        <v>2024</v>
      </c>
      <c r="O49" s="12">
        <f t="shared" si="22"/>
        <v>9315</v>
      </c>
      <c r="P49" s="12">
        <f t="shared" si="23"/>
        <v>1265</v>
      </c>
      <c r="Q49" s="12">
        <f t="shared" si="24"/>
        <v>2530</v>
      </c>
      <c r="R49" s="13">
        <f t="shared" si="25"/>
        <v>9315</v>
      </c>
      <c r="S49" s="13">
        <f t="shared" si="26"/>
        <v>1265</v>
      </c>
      <c r="T49" s="11">
        <f t="shared" si="8"/>
        <v>8050</v>
      </c>
      <c r="U49" s="2"/>
      <c r="V49" s="3"/>
    </row>
    <row r="50" spans="1:22" x14ac:dyDescent="0.3">
      <c r="A50" s="142">
        <v>47</v>
      </c>
      <c r="B50" s="16">
        <f t="shared" si="9"/>
        <v>47</v>
      </c>
      <c r="C50" s="12">
        <f t="shared" si="10"/>
        <v>1880</v>
      </c>
      <c r="D50" s="12">
        <f t="shared" si="19"/>
        <v>7050</v>
      </c>
      <c r="E50" s="12">
        <f t="shared" si="11"/>
        <v>1175</v>
      </c>
      <c r="F50" s="12">
        <f t="shared" si="20"/>
        <v>2350</v>
      </c>
      <c r="G50" s="12">
        <f t="shared" si="12"/>
        <v>3070.9700000000034</v>
      </c>
      <c r="H50" s="13">
        <f t="shared" si="13"/>
        <v>3578.9799999999964</v>
      </c>
      <c r="I50" s="13">
        <f t="shared" si="14"/>
        <v>3128</v>
      </c>
      <c r="J50" s="13">
        <f t="shared" si="15"/>
        <v>2658</v>
      </c>
      <c r="K50" s="13">
        <f t="shared" si="16"/>
        <v>3129.25</v>
      </c>
      <c r="L50" s="13">
        <f t="shared" si="17"/>
        <v>3022.8400000000033</v>
      </c>
      <c r="M50" s="13">
        <f t="shared" si="18"/>
        <v>4538.5</v>
      </c>
      <c r="N50" s="12">
        <f t="shared" si="21"/>
        <v>2068</v>
      </c>
      <c r="O50" s="12">
        <f t="shared" si="22"/>
        <v>9517.5</v>
      </c>
      <c r="P50" s="12">
        <f t="shared" si="23"/>
        <v>1292.5</v>
      </c>
      <c r="Q50" s="12">
        <f t="shared" si="24"/>
        <v>2585</v>
      </c>
      <c r="R50" s="13">
        <f t="shared" si="25"/>
        <v>9517.5</v>
      </c>
      <c r="S50" s="13">
        <f t="shared" si="26"/>
        <v>1292.5</v>
      </c>
      <c r="T50" s="11">
        <f t="shared" si="8"/>
        <v>8225</v>
      </c>
      <c r="U50" s="2"/>
      <c r="V50" s="3"/>
    </row>
    <row r="51" spans="1:22" x14ac:dyDescent="0.3">
      <c r="A51" s="142">
        <v>48</v>
      </c>
      <c r="B51" s="16">
        <f t="shared" si="9"/>
        <v>48</v>
      </c>
      <c r="C51" s="12">
        <f t="shared" si="10"/>
        <v>1920</v>
      </c>
      <c r="D51" s="12">
        <f t="shared" si="19"/>
        <v>7200</v>
      </c>
      <c r="E51" s="12">
        <f t="shared" si="11"/>
        <v>1200</v>
      </c>
      <c r="F51" s="12">
        <f t="shared" si="20"/>
        <v>2400</v>
      </c>
      <c r="G51" s="12">
        <f t="shared" si="12"/>
        <v>3136.2300000000037</v>
      </c>
      <c r="H51" s="13">
        <f t="shared" si="13"/>
        <v>3655.0999999999963</v>
      </c>
      <c r="I51" s="13">
        <f t="shared" si="14"/>
        <v>3194.5</v>
      </c>
      <c r="J51" s="13">
        <f t="shared" si="15"/>
        <v>2714.5</v>
      </c>
      <c r="K51" s="13">
        <f t="shared" si="16"/>
        <v>3195.75</v>
      </c>
      <c r="L51" s="13">
        <f t="shared" si="17"/>
        <v>3087.1000000000035</v>
      </c>
      <c r="M51" s="13">
        <f t="shared" si="18"/>
        <v>4635</v>
      </c>
      <c r="N51" s="12">
        <f t="shared" si="21"/>
        <v>2112</v>
      </c>
      <c r="O51" s="12">
        <f t="shared" si="22"/>
        <v>9720</v>
      </c>
      <c r="P51" s="12">
        <f t="shared" si="23"/>
        <v>1320</v>
      </c>
      <c r="Q51" s="12">
        <f t="shared" si="24"/>
        <v>2640</v>
      </c>
      <c r="R51" s="13">
        <f t="shared" si="25"/>
        <v>9720</v>
      </c>
      <c r="S51" s="13">
        <f t="shared" si="26"/>
        <v>1320</v>
      </c>
      <c r="T51" s="11">
        <f t="shared" si="8"/>
        <v>8400</v>
      </c>
      <c r="U51" s="2"/>
      <c r="V51" s="3"/>
    </row>
    <row r="52" spans="1:22" x14ac:dyDescent="0.3">
      <c r="A52" s="142">
        <v>49</v>
      </c>
      <c r="B52" s="16">
        <f t="shared" si="9"/>
        <v>49</v>
      </c>
      <c r="C52" s="12">
        <f t="shared" si="10"/>
        <v>1960</v>
      </c>
      <c r="D52" s="12">
        <f t="shared" si="19"/>
        <v>7350</v>
      </c>
      <c r="E52" s="12">
        <f t="shared" si="11"/>
        <v>1225</v>
      </c>
      <c r="F52" s="12">
        <f t="shared" si="20"/>
        <v>2450</v>
      </c>
      <c r="G52" s="12">
        <f t="shared" si="12"/>
        <v>3201.4900000000039</v>
      </c>
      <c r="H52" s="13">
        <f t="shared" si="13"/>
        <v>3731.2199999999962</v>
      </c>
      <c r="I52" s="13">
        <f t="shared" si="14"/>
        <v>3261</v>
      </c>
      <c r="J52" s="13">
        <f t="shared" si="15"/>
        <v>2771</v>
      </c>
      <c r="K52" s="13">
        <f t="shared" si="16"/>
        <v>3262.25</v>
      </c>
      <c r="L52" s="13">
        <f t="shared" si="17"/>
        <v>3151.3600000000038</v>
      </c>
      <c r="M52" s="13">
        <f t="shared" si="18"/>
        <v>4731.5</v>
      </c>
      <c r="N52" s="12">
        <f t="shared" si="21"/>
        <v>2156</v>
      </c>
      <c r="O52" s="12">
        <f t="shared" si="22"/>
        <v>9922.5</v>
      </c>
      <c r="P52" s="12">
        <f t="shared" si="23"/>
        <v>1347.5</v>
      </c>
      <c r="Q52" s="12">
        <f t="shared" si="24"/>
        <v>2695</v>
      </c>
      <c r="R52" s="13">
        <f t="shared" si="25"/>
        <v>9922.5</v>
      </c>
      <c r="S52" s="13">
        <f t="shared" si="26"/>
        <v>1347.5</v>
      </c>
      <c r="T52" s="11">
        <f t="shared" si="8"/>
        <v>8575</v>
      </c>
      <c r="U52" s="2"/>
      <c r="V52" s="3"/>
    </row>
    <row r="53" spans="1:22" ht="15" thickBot="1" x14ac:dyDescent="0.35">
      <c r="A53" s="143">
        <v>50</v>
      </c>
      <c r="B53" s="144">
        <f t="shared" si="9"/>
        <v>50</v>
      </c>
      <c r="C53" s="145">
        <f t="shared" si="10"/>
        <v>2000</v>
      </c>
      <c r="D53" s="145">
        <f t="shared" si="19"/>
        <v>7500</v>
      </c>
      <c r="E53" s="145">
        <f t="shared" si="11"/>
        <v>1250</v>
      </c>
      <c r="F53" s="145">
        <f t="shared" si="20"/>
        <v>2500</v>
      </c>
      <c r="G53" s="145">
        <f t="shared" si="12"/>
        <v>3266.7500000000041</v>
      </c>
      <c r="H53" s="146">
        <f t="shared" si="13"/>
        <v>3807.3399999999961</v>
      </c>
      <c r="I53" s="146">
        <f t="shared" si="14"/>
        <v>3327.5</v>
      </c>
      <c r="J53" s="146">
        <f t="shared" si="15"/>
        <v>2827.5</v>
      </c>
      <c r="K53" s="146">
        <f t="shared" si="16"/>
        <v>3328.75</v>
      </c>
      <c r="L53" s="146">
        <f t="shared" si="17"/>
        <v>3215.620000000004</v>
      </c>
      <c r="M53" s="146">
        <f t="shared" si="18"/>
        <v>4828</v>
      </c>
      <c r="N53" s="145">
        <f t="shared" si="21"/>
        <v>2200</v>
      </c>
      <c r="O53" s="145">
        <f t="shared" si="22"/>
        <v>10125</v>
      </c>
      <c r="P53" s="145">
        <f t="shared" si="23"/>
        <v>1375</v>
      </c>
      <c r="Q53" s="145">
        <f t="shared" si="24"/>
        <v>2750</v>
      </c>
      <c r="R53" s="146">
        <f t="shared" si="25"/>
        <v>10125</v>
      </c>
      <c r="S53" s="146">
        <f t="shared" si="26"/>
        <v>1375</v>
      </c>
      <c r="T53" s="38">
        <f t="shared" si="8"/>
        <v>8750</v>
      </c>
      <c r="U53" s="6"/>
      <c r="V53" s="7"/>
    </row>
    <row r="54" spans="1:22" x14ac:dyDescent="0.3">
      <c r="A54" s="8"/>
      <c r="B54" s="22"/>
      <c r="C54" s="8"/>
      <c r="D54" s="8"/>
      <c r="E54" s="8"/>
      <c r="F54" s="8"/>
      <c r="G54" s="8"/>
      <c r="H54" s="14"/>
      <c r="I54" s="14"/>
      <c r="J54" s="14"/>
      <c r="K54" s="14"/>
      <c r="L54" s="14"/>
      <c r="M54" s="14"/>
      <c r="N54" s="8"/>
      <c r="O54" s="8"/>
      <c r="P54" s="8"/>
      <c r="Q54" s="8"/>
      <c r="R54" s="14"/>
      <c r="S54" s="14"/>
      <c r="T54" s="10"/>
    </row>
    <row r="55" spans="1:22" x14ac:dyDescent="0.3">
      <c r="A55" s="8"/>
      <c r="B55" s="22"/>
      <c r="C55" s="8"/>
      <c r="D55" s="8"/>
      <c r="E55" s="8"/>
      <c r="F55" s="8"/>
      <c r="G55" s="8"/>
      <c r="H55" s="14"/>
      <c r="I55" s="14"/>
      <c r="J55" s="14"/>
      <c r="K55" s="14"/>
      <c r="L55" s="14"/>
      <c r="M55" s="14"/>
      <c r="N55" s="8"/>
      <c r="O55" s="8"/>
      <c r="P55" s="8"/>
      <c r="Q55" s="8"/>
      <c r="R55" s="14"/>
      <c r="S55" s="14"/>
      <c r="T55" s="10"/>
    </row>
    <row r="56" spans="1:22" x14ac:dyDescent="0.3">
      <c r="A56" s="8"/>
      <c r="B56" s="22"/>
      <c r="C56" s="8"/>
      <c r="D56" s="8"/>
      <c r="E56" s="8"/>
      <c r="F56" s="8"/>
      <c r="G56" s="8"/>
      <c r="H56" s="14"/>
      <c r="I56" s="14"/>
      <c r="J56" s="14"/>
      <c r="K56" s="14"/>
      <c r="L56" s="14"/>
      <c r="M56" s="14"/>
      <c r="N56" s="8"/>
      <c r="O56" s="8"/>
      <c r="P56" s="8"/>
      <c r="Q56" s="8"/>
      <c r="R56" s="14"/>
      <c r="S56" s="14"/>
      <c r="T56" s="10"/>
    </row>
    <row r="57" spans="1:22" x14ac:dyDescent="0.3">
      <c r="A57" s="8"/>
      <c r="B57" s="22"/>
      <c r="C57" s="8"/>
      <c r="D57" s="8"/>
      <c r="E57" s="8"/>
      <c r="F57" s="8"/>
      <c r="G57" s="8"/>
      <c r="H57" s="14"/>
      <c r="I57" s="14"/>
      <c r="J57" s="14"/>
      <c r="K57" s="14"/>
      <c r="L57" s="14"/>
      <c r="M57" s="14"/>
      <c r="N57" s="8"/>
      <c r="O57" s="8"/>
      <c r="P57" s="8"/>
      <c r="Q57" s="8"/>
      <c r="R57" s="14"/>
      <c r="S57" s="14"/>
      <c r="T57" s="10"/>
    </row>
    <row r="58" spans="1:22" x14ac:dyDescent="0.3">
      <c r="A58" s="8"/>
      <c r="B58" s="22"/>
      <c r="C58" s="8"/>
      <c r="D58" s="8"/>
      <c r="E58" s="8"/>
      <c r="F58" s="8"/>
      <c r="G58" s="8"/>
      <c r="H58" s="14"/>
      <c r="I58" s="14"/>
      <c r="J58" s="14"/>
      <c r="K58" s="14"/>
      <c r="L58" s="14"/>
      <c r="M58" s="14"/>
      <c r="N58" s="8"/>
      <c r="O58" s="8"/>
      <c r="P58" s="8"/>
      <c r="Q58" s="8"/>
      <c r="R58" s="14"/>
      <c r="S58" s="14"/>
      <c r="T58" s="10"/>
    </row>
    <row r="59" spans="1:22" x14ac:dyDescent="0.3">
      <c r="A59" s="8"/>
      <c r="B59" s="22"/>
      <c r="C59" s="8"/>
      <c r="D59" s="8"/>
      <c r="E59" s="8"/>
      <c r="F59" s="8"/>
      <c r="G59" s="8"/>
      <c r="H59" s="14"/>
      <c r="I59" s="14"/>
      <c r="J59" s="14"/>
      <c r="K59" s="14"/>
      <c r="L59" s="14"/>
      <c r="M59" s="14"/>
      <c r="N59" s="8"/>
      <c r="O59" s="8"/>
      <c r="P59" s="8"/>
      <c r="Q59" s="8"/>
      <c r="R59" s="14"/>
      <c r="S59" s="14"/>
      <c r="T59" s="10"/>
    </row>
    <row r="60" spans="1:22" x14ac:dyDescent="0.3">
      <c r="A60" s="8"/>
      <c r="B60" s="22"/>
      <c r="C60" s="8"/>
      <c r="D60" s="8"/>
      <c r="E60" s="8"/>
      <c r="F60" s="8"/>
      <c r="G60" s="8"/>
      <c r="H60" s="14"/>
      <c r="I60" s="14"/>
      <c r="J60" s="14"/>
      <c r="K60" s="14"/>
      <c r="L60" s="14"/>
      <c r="M60" s="14"/>
      <c r="N60" s="8"/>
      <c r="O60" s="8"/>
      <c r="P60" s="8"/>
      <c r="Q60" s="8"/>
      <c r="R60" s="14"/>
      <c r="S60" s="14"/>
      <c r="T60" s="10"/>
    </row>
    <row r="61" spans="1:22" x14ac:dyDescent="0.3">
      <c r="A61" s="8"/>
      <c r="B61" s="22"/>
      <c r="C61" s="8"/>
      <c r="D61" s="8"/>
      <c r="E61" s="8"/>
      <c r="F61" s="8"/>
      <c r="G61" s="8"/>
      <c r="H61" s="14"/>
      <c r="I61" s="14"/>
      <c r="J61" s="14"/>
      <c r="K61" s="14"/>
      <c r="L61" s="14"/>
      <c r="M61" s="14"/>
      <c r="N61" s="8"/>
      <c r="O61" s="8"/>
      <c r="P61" s="8"/>
      <c r="Q61" s="8"/>
      <c r="R61" s="14"/>
      <c r="S61" s="14"/>
      <c r="T61" s="10"/>
    </row>
    <row r="62" spans="1:22" x14ac:dyDescent="0.3">
      <c r="A62" s="8"/>
      <c r="B62" s="22"/>
      <c r="C62" s="8"/>
      <c r="D62" s="8"/>
      <c r="E62" s="8"/>
      <c r="F62" s="8"/>
      <c r="G62" s="8"/>
      <c r="H62" s="14"/>
      <c r="I62" s="14"/>
      <c r="J62" s="14"/>
      <c r="K62" s="14"/>
      <c r="L62" s="14"/>
      <c r="M62" s="14"/>
      <c r="N62" s="8"/>
      <c r="O62" s="8"/>
      <c r="P62" s="8"/>
      <c r="Q62" s="8"/>
      <c r="R62" s="14"/>
      <c r="S62" s="14"/>
      <c r="T62" s="10"/>
    </row>
    <row r="63" spans="1:22" x14ac:dyDescent="0.3">
      <c r="A63" s="8"/>
      <c r="B63" s="22"/>
      <c r="C63" s="8"/>
      <c r="D63" s="8"/>
      <c r="E63" s="8"/>
      <c r="F63" s="8"/>
      <c r="G63" s="8"/>
      <c r="H63" s="14"/>
      <c r="I63" s="14"/>
      <c r="J63" s="14"/>
      <c r="K63" s="14"/>
      <c r="L63" s="14"/>
      <c r="M63" s="14"/>
      <c r="N63" s="8"/>
      <c r="O63" s="8"/>
      <c r="P63" s="8"/>
      <c r="Q63" s="8"/>
      <c r="R63" s="14"/>
      <c r="S63" s="14"/>
      <c r="T63" s="10"/>
    </row>
    <row r="64" spans="1:22" x14ac:dyDescent="0.3">
      <c r="A64" s="8"/>
      <c r="B64" s="22"/>
      <c r="C64" s="8"/>
      <c r="D64" s="8"/>
      <c r="E64" s="8"/>
      <c r="F64" s="8"/>
      <c r="G64" s="8"/>
      <c r="H64" s="14"/>
      <c r="I64" s="14"/>
      <c r="J64" s="14"/>
      <c r="K64" s="14"/>
      <c r="L64" s="14"/>
      <c r="M64" s="14"/>
      <c r="N64" s="8"/>
      <c r="O64" s="8"/>
      <c r="P64" s="8"/>
      <c r="Q64" s="8"/>
      <c r="R64" s="14"/>
      <c r="S64" s="14"/>
      <c r="T64" s="10"/>
    </row>
    <row r="65" spans="1:20" x14ac:dyDescent="0.3">
      <c r="A65" s="8"/>
      <c r="B65" s="22"/>
      <c r="C65" s="8"/>
      <c r="D65" s="8"/>
      <c r="E65" s="8"/>
      <c r="F65" s="8"/>
      <c r="G65" s="8"/>
      <c r="H65" s="14"/>
      <c r="I65" s="14"/>
      <c r="J65" s="14"/>
      <c r="K65" s="14"/>
      <c r="L65" s="14"/>
      <c r="M65" s="14"/>
      <c r="N65" s="8"/>
      <c r="O65" s="8"/>
      <c r="P65" s="8"/>
      <c r="Q65" s="8"/>
      <c r="R65" s="14"/>
      <c r="S65" s="14"/>
      <c r="T65" s="10"/>
    </row>
    <row r="66" spans="1:20" x14ac:dyDescent="0.3">
      <c r="A66" s="8"/>
      <c r="B66" s="22"/>
      <c r="C66" s="8"/>
      <c r="D66" s="8"/>
      <c r="E66" s="8"/>
      <c r="F66" s="8"/>
      <c r="G66" s="8"/>
      <c r="H66" s="14"/>
      <c r="I66" s="14"/>
      <c r="J66" s="14"/>
      <c r="K66" s="14"/>
      <c r="L66" s="14"/>
      <c r="M66" s="14"/>
      <c r="N66" s="8"/>
      <c r="O66" s="8"/>
      <c r="P66" s="8"/>
      <c r="Q66" s="8"/>
      <c r="R66" s="14"/>
      <c r="S66" s="14"/>
      <c r="T66" s="10"/>
    </row>
    <row r="67" spans="1:20" x14ac:dyDescent="0.3">
      <c r="A67" s="8"/>
      <c r="B67" s="22"/>
      <c r="C67" s="8"/>
      <c r="D67" s="8"/>
      <c r="E67" s="8"/>
      <c r="F67" s="8"/>
      <c r="G67" s="8"/>
      <c r="H67" s="14"/>
      <c r="I67" s="14"/>
      <c r="J67" s="14"/>
      <c r="K67" s="14"/>
      <c r="L67" s="14"/>
      <c r="M67" s="14"/>
      <c r="N67" s="8"/>
      <c r="O67" s="8"/>
      <c r="P67" s="8"/>
      <c r="Q67" s="8"/>
      <c r="R67" s="14"/>
      <c r="S67" s="14"/>
      <c r="T67" s="10"/>
    </row>
    <row r="68" spans="1:20" x14ac:dyDescent="0.3">
      <c r="A68" s="8"/>
      <c r="B68" s="22"/>
      <c r="C68" s="8"/>
      <c r="D68" s="8"/>
      <c r="E68" s="8"/>
      <c r="F68" s="8"/>
      <c r="G68" s="8"/>
      <c r="H68" s="14"/>
      <c r="I68" s="14"/>
      <c r="J68" s="14"/>
      <c r="K68" s="14"/>
      <c r="L68" s="14"/>
      <c r="M68" s="14"/>
      <c r="N68" s="8"/>
      <c r="O68" s="8"/>
      <c r="P68" s="8"/>
      <c r="Q68" s="8"/>
      <c r="R68" s="14"/>
      <c r="S68" s="14"/>
      <c r="T68" s="10"/>
    </row>
    <row r="69" spans="1:20" x14ac:dyDescent="0.3">
      <c r="A69" s="8"/>
      <c r="B69" s="22"/>
      <c r="C69" s="8"/>
      <c r="D69" s="8"/>
      <c r="E69" s="8"/>
      <c r="F69" s="8"/>
      <c r="G69" s="8"/>
      <c r="H69" s="14"/>
      <c r="I69" s="14"/>
      <c r="J69" s="14"/>
      <c r="K69" s="14"/>
      <c r="L69" s="14"/>
      <c r="M69" s="14"/>
      <c r="N69" s="8"/>
      <c r="O69" s="8"/>
      <c r="P69" s="8"/>
      <c r="Q69" s="8"/>
      <c r="R69" s="14"/>
      <c r="S69" s="14"/>
      <c r="T69" s="10"/>
    </row>
    <row r="70" spans="1:20" x14ac:dyDescent="0.3">
      <c r="A70" s="8"/>
      <c r="B70" s="22"/>
      <c r="C70" s="8"/>
      <c r="D70" s="8"/>
      <c r="E70" s="8"/>
      <c r="F70" s="8"/>
      <c r="G70" s="8"/>
      <c r="H70" s="14"/>
      <c r="I70" s="14"/>
      <c r="J70" s="14"/>
      <c r="K70" s="14"/>
      <c r="L70" s="14"/>
      <c r="M70" s="14"/>
      <c r="N70" s="8"/>
      <c r="O70" s="8"/>
      <c r="P70" s="8"/>
      <c r="Q70" s="8"/>
      <c r="R70" s="14"/>
      <c r="S70" s="14"/>
      <c r="T70" s="10"/>
    </row>
    <row r="71" spans="1:20" x14ac:dyDescent="0.3">
      <c r="A71" s="8"/>
      <c r="B71" s="22"/>
      <c r="C71" s="8"/>
      <c r="D71" s="8"/>
      <c r="E71" s="8"/>
      <c r="F71" s="8"/>
      <c r="G71" s="8"/>
      <c r="H71" s="14"/>
      <c r="I71" s="14"/>
      <c r="J71" s="14"/>
      <c r="K71" s="14"/>
      <c r="L71" s="14"/>
      <c r="M71" s="14"/>
      <c r="N71" s="8"/>
      <c r="O71" s="8"/>
      <c r="P71" s="8"/>
      <c r="Q71" s="8"/>
      <c r="R71" s="14"/>
      <c r="S71" s="14"/>
      <c r="T71" s="10"/>
    </row>
    <row r="72" spans="1:20" x14ac:dyDescent="0.3">
      <c r="A72" s="8"/>
      <c r="B72" s="22"/>
      <c r="C72" s="8"/>
      <c r="D72" s="8"/>
      <c r="E72" s="8"/>
      <c r="F72" s="8"/>
      <c r="G72" s="8"/>
      <c r="H72" s="14"/>
      <c r="I72" s="14"/>
      <c r="J72" s="14"/>
      <c r="K72" s="14"/>
      <c r="L72" s="14"/>
      <c r="M72" s="14"/>
      <c r="N72" s="8"/>
      <c r="O72" s="8"/>
      <c r="P72" s="8"/>
      <c r="Q72" s="8"/>
      <c r="R72" s="14"/>
      <c r="S72" s="14"/>
      <c r="T72" s="10"/>
    </row>
    <row r="73" spans="1:20" x14ac:dyDescent="0.3">
      <c r="A73" s="8"/>
      <c r="B73" s="22"/>
      <c r="C73" s="8"/>
      <c r="D73" s="8"/>
      <c r="E73" s="8"/>
      <c r="F73" s="8"/>
      <c r="G73" s="8"/>
      <c r="H73" s="14"/>
      <c r="I73" s="14"/>
      <c r="J73" s="14"/>
      <c r="K73" s="14"/>
      <c r="L73" s="14"/>
      <c r="M73" s="14"/>
      <c r="N73" s="8"/>
      <c r="O73" s="8"/>
      <c r="P73" s="8"/>
      <c r="Q73" s="8"/>
      <c r="R73" s="14"/>
      <c r="S73" s="14"/>
      <c r="T73" s="10"/>
    </row>
    <row r="74" spans="1:20" x14ac:dyDescent="0.3">
      <c r="A74" s="8"/>
      <c r="B74" s="22"/>
      <c r="C74" s="8"/>
      <c r="D74" s="8"/>
      <c r="E74" s="8"/>
      <c r="F74" s="8"/>
      <c r="G74" s="8"/>
      <c r="H74" s="14"/>
      <c r="I74" s="14"/>
      <c r="J74" s="14"/>
      <c r="K74" s="14"/>
      <c r="L74" s="14"/>
      <c r="M74" s="14"/>
      <c r="N74" s="8"/>
      <c r="O74" s="8"/>
      <c r="P74" s="8"/>
      <c r="Q74" s="8"/>
      <c r="R74" s="14"/>
      <c r="S74" s="14"/>
      <c r="T74" s="10"/>
    </row>
    <row r="75" spans="1:20" x14ac:dyDescent="0.3">
      <c r="A75" s="8"/>
      <c r="B75" s="22"/>
      <c r="C75" s="8"/>
      <c r="D75" s="8"/>
      <c r="E75" s="8"/>
      <c r="F75" s="8"/>
      <c r="G75" s="8"/>
      <c r="H75" s="14"/>
      <c r="I75" s="14"/>
      <c r="J75" s="14"/>
      <c r="K75" s="14"/>
      <c r="L75" s="14"/>
      <c r="M75" s="14"/>
      <c r="N75" s="8"/>
      <c r="O75" s="8"/>
      <c r="P75" s="8"/>
      <c r="Q75" s="8"/>
      <c r="R75" s="14"/>
      <c r="S75" s="14"/>
      <c r="T75" s="10"/>
    </row>
    <row r="76" spans="1:20" x14ac:dyDescent="0.3">
      <c r="A76" s="8"/>
      <c r="B76" s="22"/>
      <c r="C76" s="8"/>
      <c r="D76" s="8"/>
      <c r="E76" s="8"/>
      <c r="F76" s="8"/>
      <c r="G76" s="8"/>
      <c r="H76" s="14"/>
      <c r="I76" s="14"/>
      <c r="J76" s="14"/>
      <c r="K76" s="14"/>
      <c r="L76" s="14"/>
      <c r="M76" s="14"/>
      <c r="N76" s="8"/>
      <c r="O76" s="8"/>
      <c r="P76" s="8"/>
      <c r="Q76" s="8"/>
      <c r="R76" s="14"/>
      <c r="S76" s="14"/>
      <c r="T76" s="10"/>
    </row>
    <row r="77" spans="1:20" x14ac:dyDescent="0.3">
      <c r="A77" s="8"/>
      <c r="B77" s="22"/>
      <c r="C77" s="8"/>
      <c r="D77" s="8"/>
      <c r="E77" s="8"/>
      <c r="F77" s="8"/>
      <c r="G77" s="8"/>
      <c r="H77" s="14"/>
      <c r="I77" s="14"/>
      <c r="J77" s="14"/>
      <c r="K77" s="14"/>
      <c r="L77" s="14"/>
      <c r="M77" s="14"/>
      <c r="N77" s="8"/>
      <c r="O77" s="8"/>
      <c r="P77" s="8"/>
      <c r="Q77" s="8"/>
      <c r="R77" s="14"/>
      <c r="S77" s="14"/>
      <c r="T77" s="10"/>
    </row>
    <row r="78" spans="1:20" x14ac:dyDescent="0.3">
      <c r="A78" s="8"/>
      <c r="B78" s="22"/>
      <c r="C78" s="8"/>
      <c r="D78" s="8"/>
      <c r="E78" s="8"/>
      <c r="F78" s="8"/>
      <c r="G78" s="8"/>
      <c r="H78" s="14"/>
      <c r="I78" s="14"/>
      <c r="J78" s="14"/>
      <c r="K78" s="14"/>
      <c r="L78" s="14"/>
      <c r="M78" s="14"/>
      <c r="N78" s="8"/>
      <c r="O78" s="8"/>
      <c r="P78" s="8"/>
      <c r="Q78" s="8"/>
      <c r="R78" s="14"/>
      <c r="S78" s="14"/>
      <c r="T78" s="10"/>
    </row>
    <row r="79" spans="1:20" x14ac:dyDescent="0.3">
      <c r="A79" s="8"/>
      <c r="B79" s="22"/>
      <c r="C79" s="8"/>
      <c r="D79" s="8"/>
      <c r="E79" s="8"/>
      <c r="F79" s="8"/>
      <c r="G79" s="8"/>
      <c r="H79" s="14"/>
      <c r="I79" s="14"/>
      <c r="J79" s="14"/>
      <c r="K79" s="14"/>
      <c r="L79" s="14"/>
      <c r="M79" s="14"/>
      <c r="N79" s="8"/>
      <c r="O79" s="8"/>
      <c r="P79" s="8"/>
      <c r="Q79" s="8"/>
      <c r="R79" s="14"/>
      <c r="S79" s="14"/>
      <c r="T79" s="10"/>
    </row>
    <row r="80" spans="1:20" x14ac:dyDescent="0.3">
      <c r="A80" s="8"/>
      <c r="B80" s="22"/>
      <c r="C80" s="8"/>
      <c r="D80" s="8"/>
      <c r="E80" s="8"/>
      <c r="F80" s="8"/>
      <c r="G80" s="8"/>
      <c r="H80" s="14"/>
      <c r="I80" s="14"/>
      <c r="J80" s="14"/>
      <c r="K80" s="14"/>
      <c r="L80" s="14"/>
      <c r="M80" s="14"/>
      <c r="N80" s="8"/>
      <c r="O80" s="8"/>
      <c r="P80" s="8"/>
      <c r="Q80" s="8"/>
      <c r="R80" s="14"/>
      <c r="S80" s="14"/>
      <c r="T80" s="10"/>
    </row>
    <row r="81" spans="1:20" x14ac:dyDescent="0.3">
      <c r="A81" s="8"/>
      <c r="B81" s="22"/>
      <c r="C81" s="8"/>
      <c r="D81" s="8"/>
      <c r="E81" s="8"/>
      <c r="F81" s="8"/>
      <c r="G81" s="8"/>
      <c r="H81" s="14"/>
      <c r="I81" s="14"/>
      <c r="J81" s="14"/>
      <c r="K81" s="14"/>
      <c r="L81" s="14"/>
      <c r="M81" s="14"/>
      <c r="N81" s="8"/>
      <c r="O81" s="8"/>
      <c r="P81" s="8"/>
      <c r="Q81" s="8"/>
      <c r="R81" s="14"/>
      <c r="S81" s="14"/>
      <c r="T81" s="10"/>
    </row>
    <row r="82" spans="1:20" x14ac:dyDescent="0.3">
      <c r="A82" s="8"/>
      <c r="B82" s="22"/>
      <c r="C82" s="8"/>
      <c r="D82" s="8"/>
      <c r="E82" s="8"/>
      <c r="F82" s="8"/>
      <c r="G82" s="8"/>
      <c r="H82" s="14"/>
      <c r="I82" s="14"/>
      <c r="J82" s="14"/>
      <c r="K82" s="14"/>
      <c r="L82" s="14"/>
      <c r="M82" s="14"/>
      <c r="N82" s="8"/>
      <c r="O82" s="8"/>
      <c r="P82" s="8"/>
      <c r="Q82" s="8"/>
      <c r="R82" s="14"/>
      <c r="S82" s="14"/>
      <c r="T82" s="10"/>
    </row>
    <row r="83" spans="1:20" x14ac:dyDescent="0.3">
      <c r="A83" s="8"/>
      <c r="B83" s="22"/>
      <c r="C83" s="8"/>
      <c r="D83" s="8"/>
      <c r="E83" s="8"/>
      <c r="F83" s="8"/>
      <c r="G83" s="8"/>
      <c r="H83" s="14"/>
      <c r="I83" s="14"/>
      <c r="J83" s="14"/>
      <c r="K83" s="14"/>
      <c r="L83" s="14"/>
      <c r="M83" s="14"/>
      <c r="N83" s="8"/>
      <c r="O83" s="8"/>
      <c r="P83" s="8"/>
      <c r="Q83" s="8"/>
      <c r="R83" s="14"/>
      <c r="S83" s="14"/>
      <c r="T83" s="10"/>
    </row>
    <row r="84" spans="1:20" x14ac:dyDescent="0.3">
      <c r="A84" s="8"/>
      <c r="B84" s="22"/>
      <c r="C84" s="8"/>
      <c r="D84" s="8"/>
      <c r="E84" s="8"/>
      <c r="F84" s="8"/>
      <c r="G84" s="8"/>
      <c r="H84" s="14"/>
      <c r="I84" s="14"/>
      <c r="J84" s="14"/>
      <c r="K84" s="14"/>
      <c r="L84" s="14"/>
      <c r="M84" s="14"/>
      <c r="N84" s="8"/>
      <c r="O84" s="8"/>
      <c r="P84" s="8"/>
      <c r="Q84" s="8"/>
      <c r="R84" s="14"/>
      <c r="S84" s="14"/>
      <c r="T84" s="10"/>
    </row>
    <row r="85" spans="1:20" x14ac:dyDescent="0.3">
      <c r="A85" s="8"/>
      <c r="B85" s="22"/>
      <c r="C85" s="8"/>
      <c r="D85" s="8"/>
      <c r="E85" s="8"/>
      <c r="F85" s="8"/>
      <c r="G85" s="8"/>
      <c r="H85" s="14"/>
      <c r="I85" s="14"/>
      <c r="J85" s="14"/>
      <c r="K85" s="14"/>
      <c r="L85" s="14"/>
      <c r="M85" s="14"/>
      <c r="N85" s="8"/>
      <c r="O85" s="8"/>
      <c r="P85" s="8"/>
      <c r="Q85" s="8"/>
      <c r="R85" s="14"/>
      <c r="S85" s="14"/>
      <c r="T85" s="10"/>
    </row>
    <row r="86" spans="1:20" x14ac:dyDescent="0.3">
      <c r="A86" s="8"/>
      <c r="B86" s="22"/>
      <c r="C86" s="8"/>
      <c r="D86" s="8"/>
      <c r="E86" s="8"/>
      <c r="F86" s="8"/>
      <c r="G86" s="8"/>
      <c r="H86" s="14"/>
      <c r="I86" s="14"/>
      <c r="J86" s="14"/>
      <c r="K86" s="14"/>
      <c r="L86" s="14"/>
      <c r="M86" s="14"/>
      <c r="N86" s="8"/>
      <c r="O86" s="8"/>
      <c r="P86" s="8"/>
      <c r="Q86" s="8"/>
      <c r="R86" s="14"/>
      <c r="S86" s="14"/>
      <c r="T86" s="10"/>
    </row>
    <row r="87" spans="1:20" x14ac:dyDescent="0.3">
      <c r="A87" s="8"/>
      <c r="B87" s="22"/>
      <c r="C87" s="8"/>
      <c r="D87" s="8"/>
      <c r="E87" s="8"/>
      <c r="F87" s="8"/>
      <c r="G87" s="8"/>
      <c r="H87" s="14"/>
      <c r="I87" s="14"/>
      <c r="J87" s="14"/>
      <c r="K87" s="14"/>
      <c r="L87" s="14"/>
      <c r="M87" s="14"/>
      <c r="N87" s="8"/>
      <c r="O87" s="8"/>
      <c r="P87" s="8"/>
      <c r="Q87" s="8"/>
      <c r="R87" s="14"/>
      <c r="S87" s="14"/>
      <c r="T87" s="10"/>
    </row>
    <row r="88" spans="1:20" x14ac:dyDescent="0.3">
      <c r="A88" s="8"/>
      <c r="B88" s="22"/>
      <c r="C88" s="8"/>
      <c r="D88" s="8"/>
      <c r="E88" s="8"/>
      <c r="F88" s="8"/>
      <c r="G88" s="8"/>
      <c r="H88" s="14"/>
      <c r="I88" s="14"/>
      <c r="J88" s="14"/>
      <c r="K88" s="14"/>
      <c r="L88" s="14"/>
      <c r="M88" s="14"/>
      <c r="N88" s="8"/>
      <c r="O88" s="8"/>
      <c r="P88" s="8"/>
      <c r="Q88" s="8"/>
      <c r="R88" s="14"/>
      <c r="S88" s="14"/>
      <c r="T88" s="10"/>
    </row>
    <row r="89" spans="1:20" x14ac:dyDescent="0.3">
      <c r="A89" s="8"/>
      <c r="B89" s="22"/>
      <c r="C89" s="8"/>
      <c r="D89" s="8"/>
      <c r="E89" s="8"/>
      <c r="F89" s="8"/>
      <c r="G89" s="8"/>
      <c r="H89" s="14"/>
      <c r="I89" s="14"/>
      <c r="J89" s="14"/>
      <c r="K89" s="14"/>
      <c r="L89" s="14"/>
      <c r="M89" s="14"/>
      <c r="N89" s="8"/>
      <c r="O89" s="8"/>
      <c r="P89" s="8"/>
      <c r="Q89" s="8"/>
      <c r="R89" s="14"/>
      <c r="S89" s="14"/>
      <c r="T89" s="10"/>
    </row>
    <row r="90" spans="1:20" x14ac:dyDescent="0.3">
      <c r="A90" s="8"/>
      <c r="B90" s="22"/>
      <c r="C90" s="8"/>
      <c r="D90" s="8"/>
      <c r="E90" s="8"/>
      <c r="F90" s="8"/>
      <c r="G90" s="8"/>
      <c r="H90" s="14"/>
      <c r="I90" s="14"/>
      <c r="J90" s="14"/>
      <c r="K90" s="14"/>
      <c r="L90" s="14"/>
      <c r="M90" s="14"/>
      <c r="N90" s="8"/>
      <c r="O90" s="8"/>
      <c r="P90" s="8"/>
      <c r="Q90" s="8"/>
      <c r="R90" s="14"/>
      <c r="S90" s="14"/>
      <c r="T90" s="10"/>
    </row>
    <row r="91" spans="1:20" x14ac:dyDescent="0.3">
      <c r="A91" s="8"/>
      <c r="B91" s="22"/>
      <c r="C91" s="8"/>
      <c r="D91" s="8"/>
      <c r="E91" s="8"/>
      <c r="F91" s="8"/>
      <c r="G91" s="8"/>
      <c r="H91" s="14"/>
      <c r="I91" s="14"/>
      <c r="J91" s="14"/>
      <c r="K91" s="14"/>
      <c r="L91" s="14"/>
      <c r="M91" s="14"/>
      <c r="N91" s="8"/>
      <c r="O91" s="8"/>
      <c r="P91" s="8"/>
      <c r="Q91" s="8"/>
      <c r="R91" s="14"/>
      <c r="S91" s="14"/>
      <c r="T91" s="10"/>
    </row>
    <row r="92" spans="1:20" x14ac:dyDescent="0.3">
      <c r="A92" s="8"/>
      <c r="B92" s="22"/>
      <c r="C92" s="8"/>
      <c r="D92" s="8"/>
      <c r="E92" s="8"/>
      <c r="F92" s="8"/>
      <c r="G92" s="8"/>
      <c r="H92" s="14"/>
      <c r="I92" s="14"/>
      <c r="J92" s="14"/>
      <c r="K92" s="14"/>
      <c r="L92" s="14"/>
      <c r="M92" s="14"/>
      <c r="N92" s="8"/>
      <c r="O92" s="8"/>
      <c r="P92" s="8"/>
      <c r="Q92" s="8"/>
      <c r="R92" s="14"/>
      <c r="S92" s="14"/>
      <c r="T92" s="10"/>
    </row>
    <row r="93" spans="1:20" x14ac:dyDescent="0.3">
      <c r="A93" s="8"/>
      <c r="B93" s="22"/>
      <c r="C93" s="8"/>
      <c r="D93" s="8"/>
      <c r="E93" s="8"/>
      <c r="F93" s="8"/>
      <c r="G93" s="8"/>
      <c r="H93" s="14"/>
      <c r="I93" s="14"/>
      <c r="J93" s="14"/>
      <c r="K93" s="14"/>
      <c r="L93" s="14"/>
      <c r="M93" s="14"/>
      <c r="N93" s="8"/>
      <c r="O93" s="8"/>
      <c r="P93" s="8"/>
      <c r="Q93" s="8"/>
      <c r="R93" s="14"/>
      <c r="S93" s="14"/>
      <c r="T93" s="10"/>
    </row>
    <row r="94" spans="1:20" x14ac:dyDescent="0.3">
      <c r="A94" s="8"/>
      <c r="B94" s="22"/>
      <c r="C94" s="8"/>
      <c r="D94" s="8"/>
      <c r="E94" s="8"/>
      <c r="F94" s="8"/>
      <c r="G94" s="8"/>
      <c r="H94" s="14"/>
      <c r="I94" s="14"/>
      <c r="J94" s="14"/>
      <c r="K94" s="14"/>
      <c r="L94" s="14"/>
      <c r="M94" s="14"/>
      <c r="N94" s="8"/>
      <c r="O94" s="8"/>
      <c r="P94" s="8"/>
      <c r="Q94" s="8"/>
      <c r="R94" s="14"/>
      <c r="S94" s="14"/>
      <c r="T94" s="10"/>
    </row>
    <row r="95" spans="1:20" x14ac:dyDescent="0.3">
      <c r="A95" s="8"/>
      <c r="B95" s="22"/>
      <c r="C95" s="8"/>
      <c r="D95" s="8"/>
      <c r="E95" s="8"/>
      <c r="F95" s="8"/>
      <c r="G95" s="8"/>
      <c r="H95" s="14"/>
      <c r="I95" s="14"/>
      <c r="J95" s="14"/>
      <c r="K95" s="14"/>
      <c r="L95" s="14"/>
      <c r="M95" s="14"/>
      <c r="N95" s="8"/>
      <c r="O95" s="8"/>
      <c r="P95" s="8"/>
      <c r="Q95" s="8"/>
      <c r="R95" s="14"/>
      <c r="S95" s="14"/>
      <c r="T95" s="10"/>
    </row>
    <row r="96" spans="1:20" x14ac:dyDescent="0.3">
      <c r="A96" s="8"/>
      <c r="B96" s="22"/>
      <c r="C96" s="8"/>
      <c r="D96" s="8"/>
      <c r="E96" s="8"/>
      <c r="F96" s="8"/>
      <c r="G96" s="8"/>
      <c r="H96" s="14"/>
      <c r="I96" s="14"/>
      <c r="J96" s="14"/>
      <c r="K96" s="14"/>
      <c r="L96" s="14"/>
      <c r="M96" s="14"/>
      <c r="N96" s="8"/>
      <c r="O96" s="8"/>
      <c r="P96" s="8"/>
      <c r="Q96" s="8"/>
      <c r="R96" s="14"/>
      <c r="S96" s="14"/>
      <c r="T96" s="10"/>
    </row>
    <row r="97" spans="1:20" x14ac:dyDescent="0.3">
      <c r="A97" s="8"/>
      <c r="B97" s="22"/>
      <c r="C97" s="8"/>
      <c r="D97" s="8"/>
      <c r="E97" s="8"/>
      <c r="F97" s="8"/>
      <c r="G97" s="8"/>
      <c r="H97" s="14"/>
      <c r="I97" s="14"/>
      <c r="J97" s="14"/>
      <c r="K97" s="14"/>
      <c r="L97" s="14"/>
      <c r="M97" s="14"/>
      <c r="N97" s="8"/>
      <c r="O97" s="8"/>
      <c r="P97" s="8"/>
      <c r="Q97" s="8"/>
      <c r="R97" s="14"/>
      <c r="S97" s="14"/>
      <c r="T97" s="10"/>
    </row>
    <row r="98" spans="1:20" x14ac:dyDescent="0.3">
      <c r="A98" s="8"/>
      <c r="B98" s="22"/>
      <c r="C98" s="8"/>
      <c r="D98" s="8"/>
      <c r="E98" s="8"/>
      <c r="F98" s="8"/>
      <c r="G98" s="8"/>
      <c r="H98" s="14"/>
      <c r="I98" s="14"/>
      <c r="J98" s="14"/>
      <c r="K98" s="14"/>
      <c r="L98" s="14"/>
      <c r="M98" s="14"/>
      <c r="N98" s="8"/>
      <c r="O98" s="8"/>
      <c r="P98" s="8"/>
      <c r="Q98" s="8"/>
      <c r="R98" s="14"/>
      <c r="S98" s="14"/>
      <c r="T98" s="10"/>
    </row>
    <row r="99" spans="1:20" x14ac:dyDescent="0.3">
      <c r="A99" s="8"/>
      <c r="B99" s="22"/>
      <c r="C99" s="8"/>
      <c r="D99" s="8"/>
      <c r="E99" s="8"/>
      <c r="F99" s="8"/>
      <c r="G99" s="8"/>
      <c r="H99" s="14"/>
      <c r="I99" s="14"/>
      <c r="J99" s="14"/>
      <c r="K99" s="14"/>
      <c r="L99" s="14"/>
      <c r="M99" s="14"/>
      <c r="N99" s="8"/>
      <c r="O99" s="8"/>
      <c r="P99" s="8"/>
      <c r="Q99" s="8"/>
      <c r="R99" s="14"/>
      <c r="S99" s="14"/>
      <c r="T99" s="10"/>
    </row>
    <row r="100" spans="1:20" x14ac:dyDescent="0.3">
      <c r="A100" s="8"/>
      <c r="B100" s="22"/>
      <c r="C100" s="8"/>
      <c r="D100" s="8"/>
      <c r="E100" s="8"/>
      <c r="F100" s="8"/>
      <c r="G100" s="8"/>
      <c r="H100" s="14"/>
      <c r="I100" s="14"/>
      <c r="J100" s="14"/>
      <c r="K100" s="14"/>
      <c r="L100" s="14"/>
      <c r="M100" s="14"/>
      <c r="N100" s="8"/>
      <c r="O100" s="8"/>
      <c r="P100" s="8"/>
      <c r="Q100" s="8"/>
      <c r="R100" s="14"/>
      <c r="S100" s="14"/>
      <c r="T100" s="10"/>
    </row>
    <row r="101" spans="1:20" x14ac:dyDescent="0.3">
      <c r="A101" s="8"/>
      <c r="B101" s="22"/>
      <c r="C101" s="8"/>
      <c r="D101" s="8"/>
      <c r="E101" s="8"/>
      <c r="F101" s="8"/>
      <c r="G101" s="8"/>
      <c r="H101" s="14"/>
      <c r="I101" s="14"/>
      <c r="J101" s="14"/>
      <c r="K101" s="14"/>
      <c r="L101" s="14"/>
      <c r="M101" s="14"/>
      <c r="N101" s="8"/>
      <c r="O101" s="8"/>
      <c r="P101" s="8"/>
      <c r="Q101" s="8"/>
      <c r="R101" s="14"/>
      <c r="S101" s="14"/>
      <c r="T101" s="10"/>
    </row>
    <row r="102" spans="1:20" x14ac:dyDescent="0.3">
      <c r="A102" s="8"/>
      <c r="B102" s="22"/>
      <c r="C102" s="8"/>
      <c r="D102" s="8"/>
      <c r="E102" s="8"/>
      <c r="F102" s="8"/>
      <c r="G102" s="8"/>
      <c r="H102" s="14"/>
      <c r="I102" s="14"/>
      <c r="J102" s="14"/>
      <c r="K102" s="14"/>
      <c r="L102" s="14"/>
      <c r="M102" s="14"/>
      <c r="N102" s="8"/>
      <c r="O102" s="8"/>
      <c r="P102" s="8"/>
      <c r="Q102" s="8"/>
      <c r="R102" s="14"/>
      <c r="S102" s="14"/>
      <c r="T102" s="10"/>
    </row>
    <row r="103" spans="1:20" x14ac:dyDescent="0.3">
      <c r="A103" s="8"/>
      <c r="B103" s="22"/>
      <c r="C103" s="8"/>
      <c r="D103" s="8"/>
      <c r="E103" s="8"/>
      <c r="F103" s="8"/>
      <c r="G103" s="8"/>
      <c r="H103" s="14"/>
      <c r="I103" s="14"/>
      <c r="J103" s="14"/>
      <c r="K103" s="14"/>
      <c r="L103" s="14"/>
      <c r="M103" s="14"/>
      <c r="N103" s="8"/>
      <c r="O103" s="8"/>
      <c r="P103" s="8"/>
      <c r="Q103" s="8"/>
      <c r="R103" s="14"/>
      <c r="S103" s="14"/>
      <c r="T103" s="10"/>
    </row>
    <row r="104" spans="1:20" x14ac:dyDescent="0.3">
      <c r="A104" s="8"/>
      <c r="B104" s="22"/>
      <c r="C104" s="8"/>
      <c r="D104" s="8"/>
      <c r="E104" s="8"/>
      <c r="F104" s="8"/>
      <c r="G104" s="8"/>
      <c r="H104" s="14"/>
      <c r="I104" s="14"/>
      <c r="J104" s="14"/>
      <c r="K104" s="14"/>
      <c r="L104" s="14"/>
      <c r="M104" s="14"/>
      <c r="N104" s="8"/>
      <c r="O104" s="8"/>
      <c r="P104" s="8"/>
      <c r="Q104" s="8"/>
      <c r="R104" s="14"/>
      <c r="S104" s="14"/>
      <c r="T104" s="10"/>
    </row>
    <row r="105" spans="1:20" x14ac:dyDescent="0.3">
      <c r="A105" s="8"/>
      <c r="B105" s="22"/>
      <c r="C105" s="8"/>
      <c r="D105" s="8"/>
      <c r="E105" s="8"/>
      <c r="F105" s="8"/>
      <c r="G105" s="8"/>
      <c r="H105" s="14"/>
      <c r="I105" s="14"/>
      <c r="J105" s="14"/>
      <c r="K105" s="14"/>
      <c r="L105" s="14"/>
      <c r="M105" s="14"/>
      <c r="N105" s="8"/>
      <c r="O105" s="8"/>
      <c r="P105" s="8"/>
      <c r="Q105" s="8"/>
      <c r="R105" s="14"/>
      <c r="S105" s="14"/>
      <c r="T105" s="10"/>
    </row>
    <row r="106" spans="1:20" x14ac:dyDescent="0.3">
      <c r="A106" s="8"/>
      <c r="B106" s="22"/>
      <c r="C106" s="17"/>
      <c r="D106" s="8"/>
      <c r="E106" s="8"/>
      <c r="F106" s="18"/>
      <c r="G106" s="8"/>
      <c r="H106" s="14"/>
      <c r="I106" s="14"/>
      <c r="J106" s="14"/>
      <c r="K106" s="14"/>
      <c r="L106" s="14"/>
      <c r="M106" s="14"/>
      <c r="N106" s="18"/>
      <c r="O106" s="18"/>
      <c r="P106" s="8"/>
      <c r="Q106" s="18"/>
      <c r="R106" s="14"/>
      <c r="S106" s="14"/>
      <c r="T106" s="10"/>
    </row>
    <row r="107" spans="1:20" x14ac:dyDescent="0.3">
      <c r="B107" s="22"/>
      <c r="C107" s="8"/>
      <c r="D107" s="8"/>
      <c r="E107" s="8"/>
      <c r="F107" s="8"/>
      <c r="N107" s="8"/>
      <c r="O107" s="8"/>
      <c r="P107" s="8"/>
      <c r="Q107" s="8"/>
    </row>
    <row r="108" spans="1:20" x14ac:dyDescent="0.3">
      <c r="B108" s="26"/>
      <c r="C108" s="8"/>
      <c r="D108" s="8"/>
      <c r="E108" s="8"/>
      <c r="F108" s="8"/>
      <c r="N108" s="8"/>
      <c r="O108" s="8"/>
      <c r="P108" s="8"/>
      <c r="Q108" s="8"/>
    </row>
    <row r="109" spans="1:20" x14ac:dyDescent="0.3">
      <c r="B109" s="22"/>
      <c r="C109" s="8"/>
      <c r="D109" s="8"/>
      <c r="E109" s="8"/>
      <c r="F109" s="8"/>
      <c r="N109" s="8"/>
      <c r="O109" s="8"/>
      <c r="P109" s="8"/>
      <c r="Q109" s="8"/>
    </row>
    <row r="110" spans="1:20" x14ac:dyDescent="0.3">
      <c r="B110" s="22"/>
      <c r="C110" s="8"/>
      <c r="D110" s="8"/>
      <c r="E110" s="8"/>
      <c r="F110" s="8"/>
      <c r="N110" s="8"/>
      <c r="O110" s="8"/>
      <c r="P110" s="8"/>
      <c r="Q110" s="8"/>
    </row>
    <row r="111" spans="1:20" x14ac:dyDescent="0.3">
      <c r="B111" s="22"/>
      <c r="C111" s="8"/>
      <c r="D111" s="8"/>
      <c r="E111" s="8"/>
      <c r="F111" s="8"/>
      <c r="N111" s="8"/>
      <c r="O111" s="8"/>
      <c r="P111" s="8"/>
      <c r="Q111" s="8"/>
    </row>
    <row r="112" spans="1:20" x14ac:dyDescent="0.3">
      <c r="B112" s="22"/>
      <c r="C112" s="8"/>
      <c r="D112" s="8"/>
      <c r="E112" s="8"/>
      <c r="F112" s="8"/>
      <c r="N112" s="8"/>
      <c r="O112" s="8"/>
      <c r="P112" s="8"/>
      <c r="Q112" s="8"/>
    </row>
    <row r="113" spans="2:17" x14ac:dyDescent="0.3">
      <c r="B113" s="22"/>
      <c r="C113" s="8"/>
      <c r="D113" s="8"/>
      <c r="E113" s="8"/>
      <c r="F113" s="8"/>
      <c r="N113" s="8"/>
      <c r="O113" s="8"/>
      <c r="P113" s="8"/>
      <c r="Q113" s="8"/>
    </row>
    <row r="114" spans="2:17" x14ac:dyDescent="0.3">
      <c r="B114" s="22"/>
      <c r="C114" s="8"/>
      <c r="D114" s="8"/>
      <c r="E114" s="8"/>
      <c r="F114" s="8"/>
      <c r="N114" s="8"/>
      <c r="O114" s="8"/>
      <c r="P114" s="8"/>
      <c r="Q114" s="8"/>
    </row>
    <row r="115" spans="2:17" x14ac:dyDescent="0.3">
      <c r="B115" s="22"/>
      <c r="C115" s="8"/>
      <c r="D115" s="8"/>
      <c r="E115" s="8"/>
      <c r="F115" s="8"/>
      <c r="N115" s="8"/>
      <c r="O115" s="8"/>
      <c r="P115" s="8"/>
      <c r="Q115" s="8"/>
    </row>
    <row r="116" spans="2:17" x14ac:dyDescent="0.3">
      <c r="B116" s="22"/>
      <c r="C116" s="8"/>
      <c r="D116" s="8"/>
      <c r="E116" s="8"/>
      <c r="F116" s="8"/>
      <c r="N116" s="8"/>
      <c r="O116" s="8"/>
      <c r="P116" s="8"/>
      <c r="Q116" s="8"/>
    </row>
    <row r="117" spans="2:17" x14ac:dyDescent="0.3">
      <c r="B117" s="22"/>
      <c r="C117" s="8"/>
      <c r="D117" s="8"/>
      <c r="E117" s="8"/>
      <c r="F117" s="8"/>
      <c r="N117" s="8"/>
      <c r="O117" s="8"/>
      <c r="P117" s="8"/>
      <c r="Q117" s="8"/>
    </row>
    <row r="118" spans="2:17" x14ac:dyDescent="0.3">
      <c r="B118" s="22"/>
      <c r="C118" s="8"/>
      <c r="D118" s="8"/>
      <c r="E118" s="8"/>
      <c r="F118" s="8"/>
      <c r="N118" s="8"/>
      <c r="O118" s="8"/>
      <c r="P118" s="8"/>
      <c r="Q118" s="8"/>
    </row>
    <row r="119" spans="2:17" x14ac:dyDescent="0.3">
      <c r="B119" s="22"/>
      <c r="C119" s="8"/>
      <c r="D119" s="8"/>
      <c r="E119" s="8"/>
      <c r="F119" s="8"/>
      <c r="N119" s="8"/>
      <c r="O119" s="8"/>
      <c r="P119" s="8"/>
      <c r="Q119" s="8"/>
    </row>
    <row r="120" spans="2:17" x14ac:dyDescent="0.3">
      <c r="B120" s="22"/>
      <c r="C120" s="8"/>
      <c r="D120" s="8"/>
      <c r="E120" s="8"/>
      <c r="F120" s="8"/>
      <c r="N120" s="8"/>
      <c r="O120" s="8"/>
      <c r="P120" s="8"/>
      <c r="Q120" s="8"/>
    </row>
    <row r="121" spans="2:17" x14ac:dyDescent="0.3">
      <c r="B121" s="22"/>
      <c r="C121" s="8"/>
      <c r="D121" s="8"/>
      <c r="E121" s="8"/>
      <c r="F121" s="8"/>
      <c r="N121" s="8"/>
      <c r="O121" s="8"/>
      <c r="P121" s="8"/>
      <c r="Q121" s="8"/>
    </row>
    <row r="122" spans="2:17" x14ac:dyDescent="0.3">
      <c r="B122" s="22"/>
      <c r="C122" s="8"/>
      <c r="D122" s="8"/>
      <c r="E122" s="8"/>
      <c r="F122" s="8"/>
      <c r="N122" s="8"/>
      <c r="O122" s="8"/>
      <c r="P122" s="8"/>
      <c r="Q122" s="8"/>
    </row>
    <row r="123" spans="2:17" x14ac:dyDescent="0.3">
      <c r="B123" s="22"/>
      <c r="C123" s="8"/>
      <c r="D123" s="8"/>
      <c r="E123" s="8"/>
      <c r="F123" s="8"/>
      <c r="N123" s="8"/>
      <c r="O123" s="8"/>
      <c r="P123" s="8"/>
      <c r="Q123" s="8"/>
    </row>
    <row r="124" spans="2:17" x14ac:dyDescent="0.3">
      <c r="B124" s="22"/>
      <c r="C124" s="8"/>
      <c r="D124" s="8"/>
      <c r="E124" s="8"/>
      <c r="F124" s="8"/>
      <c r="N124" s="8"/>
      <c r="O124" s="8"/>
      <c r="P124" s="8"/>
      <c r="Q124" s="8"/>
    </row>
    <row r="125" spans="2:17" x14ac:dyDescent="0.3">
      <c r="B125" s="22"/>
      <c r="C125" s="8"/>
      <c r="D125" s="8"/>
      <c r="E125" s="8"/>
      <c r="F125" s="8"/>
      <c r="N125" s="8"/>
      <c r="O125" s="8"/>
      <c r="P125" s="8"/>
      <c r="Q125" s="8"/>
    </row>
    <row r="126" spans="2:17" x14ac:dyDescent="0.3">
      <c r="B126" s="22"/>
      <c r="C126" s="8"/>
      <c r="D126" s="8"/>
      <c r="E126" s="8"/>
      <c r="F126" s="8"/>
      <c r="N126" s="8"/>
      <c r="O126" s="8"/>
      <c r="P126" s="8"/>
      <c r="Q126" s="8"/>
    </row>
    <row r="127" spans="2:17" x14ac:dyDescent="0.3">
      <c r="B127" s="22"/>
      <c r="C127" s="8"/>
      <c r="D127" s="8"/>
      <c r="E127" s="8"/>
      <c r="F127" s="8"/>
      <c r="N127" s="8"/>
      <c r="O127" s="8"/>
      <c r="P127" s="8"/>
      <c r="Q127" s="8"/>
    </row>
    <row r="128" spans="2:17" x14ac:dyDescent="0.3">
      <c r="B128" s="22"/>
      <c r="C128" s="8"/>
      <c r="D128" s="8"/>
      <c r="E128" s="8"/>
      <c r="F128" s="8"/>
      <c r="N128" s="8"/>
      <c r="O128" s="8"/>
      <c r="P128" s="8"/>
      <c r="Q128" s="8"/>
    </row>
    <row r="129" spans="2:17" x14ac:dyDescent="0.3">
      <c r="B129" s="22"/>
      <c r="C129" s="8"/>
      <c r="D129" s="8"/>
      <c r="E129" s="8"/>
      <c r="F129" s="8"/>
      <c r="N129" s="8"/>
      <c r="O129" s="8"/>
      <c r="P129" s="8"/>
      <c r="Q129" s="8"/>
    </row>
    <row r="130" spans="2:17" x14ac:dyDescent="0.3">
      <c r="B130" s="22"/>
      <c r="C130" s="8"/>
      <c r="D130" s="8"/>
      <c r="E130" s="8"/>
      <c r="F130" s="8"/>
      <c r="N130" s="8"/>
      <c r="O130" s="8"/>
      <c r="P130" s="8"/>
      <c r="Q130" s="8"/>
    </row>
    <row r="131" spans="2:17" x14ac:dyDescent="0.3">
      <c r="B131" s="22"/>
      <c r="C131" s="8"/>
      <c r="D131" s="8"/>
      <c r="E131" s="8"/>
      <c r="F131" s="8"/>
      <c r="N131" s="8"/>
      <c r="O131" s="8"/>
      <c r="P131" s="8"/>
      <c r="Q131" s="8"/>
    </row>
    <row r="132" spans="2:17" x14ac:dyDescent="0.3">
      <c r="B132" s="22"/>
      <c r="C132" s="8"/>
      <c r="D132" s="8"/>
      <c r="E132" s="8"/>
      <c r="F132" s="8"/>
      <c r="N132" s="8"/>
      <c r="O132" s="8"/>
      <c r="P132" s="8"/>
      <c r="Q132" s="8"/>
    </row>
    <row r="133" spans="2:17" x14ac:dyDescent="0.3">
      <c r="B133" s="22"/>
      <c r="C133" s="8"/>
      <c r="D133" s="8"/>
      <c r="E133" s="8"/>
      <c r="F133" s="8"/>
      <c r="N133" s="8"/>
      <c r="O133" s="8"/>
      <c r="P133" s="8"/>
      <c r="Q133" s="8"/>
    </row>
    <row r="134" spans="2:17" x14ac:dyDescent="0.3">
      <c r="B134" s="22"/>
      <c r="C134" s="8"/>
      <c r="D134" s="8"/>
      <c r="E134" s="8"/>
      <c r="F134" s="8"/>
      <c r="N134" s="8"/>
      <c r="O134" s="8"/>
      <c r="P134" s="8"/>
      <c r="Q134" s="8"/>
    </row>
    <row r="135" spans="2:17" x14ac:dyDescent="0.3">
      <c r="B135" s="22"/>
      <c r="C135" s="8"/>
      <c r="D135" s="8"/>
      <c r="E135" s="8"/>
      <c r="F135" s="8"/>
      <c r="N135" s="8"/>
      <c r="O135" s="8"/>
      <c r="P135" s="8"/>
      <c r="Q135" s="8"/>
    </row>
    <row r="136" spans="2:17" x14ac:dyDescent="0.3">
      <c r="B136" s="22"/>
      <c r="C136" s="8"/>
      <c r="D136" s="8"/>
      <c r="E136" s="8"/>
      <c r="F136" s="8"/>
      <c r="N136" s="8"/>
      <c r="O136" s="8"/>
      <c r="P136" s="8"/>
      <c r="Q136" s="8"/>
    </row>
    <row r="137" spans="2:17" x14ac:dyDescent="0.3">
      <c r="B137" s="22"/>
      <c r="C137" s="8"/>
      <c r="D137" s="8"/>
      <c r="E137" s="8"/>
      <c r="F137" s="8"/>
      <c r="N137" s="8"/>
      <c r="O137" s="8"/>
      <c r="P137" s="8"/>
      <c r="Q137" s="8"/>
    </row>
    <row r="138" spans="2:17" x14ac:dyDescent="0.3">
      <c r="B138" s="22"/>
      <c r="C138" s="8"/>
      <c r="D138" s="8"/>
      <c r="E138" s="8"/>
      <c r="F138" s="8"/>
      <c r="N138" s="8"/>
      <c r="O138" s="8"/>
      <c r="P138" s="8"/>
      <c r="Q138" s="8"/>
    </row>
    <row r="139" spans="2:17" x14ac:dyDescent="0.3">
      <c r="B139" s="22"/>
      <c r="C139" s="8"/>
      <c r="D139" s="8"/>
      <c r="E139" s="8"/>
      <c r="F139" s="8"/>
      <c r="N139" s="8"/>
      <c r="O139" s="8"/>
      <c r="P139" s="8"/>
      <c r="Q139" s="8"/>
    </row>
    <row r="140" spans="2:17" x14ac:dyDescent="0.3">
      <c r="B140" s="22"/>
      <c r="C140" s="8"/>
      <c r="D140" s="8"/>
      <c r="E140" s="8"/>
      <c r="F140" s="8"/>
      <c r="N140" s="8"/>
      <c r="O140" s="8"/>
      <c r="P140" s="8"/>
      <c r="Q140" s="8"/>
    </row>
    <row r="141" spans="2:17" x14ac:dyDescent="0.3">
      <c r="B141" s="22"/>
      <c r="C141" s="8"/>
      <c r="D141" s="8"/>
      <c r="E141" s="8"/>
      <c r="F141" s="8"/>
      <c r="N141" s="8"/>
      <c r="O141" s="8"/>
      <c r="P141" s="8"/>
      <c r="Q141" s="8"/>
    </row>
    <row r="142" spans="2:17" x14ac:dyDescent="0.3">
      <c r="B142" s="22"/>
      <c r="C142" s="8"/>
      <c r="D142" s="8"/>
      <c r="E142" s="8"/>
      <c r="F142" s="8"/>
      <c r="N142" s="8"/>
      <c r="O142" s="8"/>
      <c r="P142" s="8"/>
      <c r="Q142" s="8"/>
    </row>
    <row r="143" spans="2:17" x14ac:dyDescent="0.3">
      <c r="B143" s="22"/>
      <c r="C143" s="8"/>
      <c r="D143" s="8"/>
      <c r="E143" s="8"/>
      <c r="F143" s="8"/>
      <c r="N143" s="8"/>
      <c r="O143" s="8"/>
      <c r="P143" s="8"/>
      <c r="Q143" s="8"/>
    </row>
    <row r="144" spans="2:17" x14ac:dyDescent="0.3">
      <c r="B144" s="22"/>
      <c r="C144" s="8"/>
      <c r="D144" s="8"/>
      <c r="E144" s="8"/>
      <c r="F144" s="8"/>
      <c r="N144" s="8"/>
      <c r="O144" s="8"/>
      <c r="P144" s="8"/>
      <c r="Q144" s="8"/>
    </row>
    <row r="145" spans="2:17" x14ac:dyDescent="0.3">
      <c r="B145" s="22"/>
      <c r="C145" s="8"/>
      <c r="D145" s="8"/>
      <c r="E145" s="8"/>
      <c r="F145" s="8"/>
      <c r="N145" s="8"/>
      <c r="O145" s="8"/>
      <c r="P145" s="8"/>
      <c r="Q145" s="8"/>
    </row>
    <row r="146" spans="2:17" x14ac:dyDescent="0.3">
      <c r="B146" s="22"/>
      <c r="C146" s="8"/>
      <c r="D146" s="8"/>
      <c r="E146" s="8"/>
      <c r="F146" s="8"/>
      <c r="N146" s="8"/>
      <c r="O146" s="8"/>
      <c r="P146" s="8"/>
      <c r="Q146" s="8"/>
    </row>
    <row r="147" spans="2:17" x14ac:dyDescent="0.3">
      <c r="B147" s="22"/>
      <c r="C147" s="8"/>
      <c r="D147" s="8"/>
      <c r="E147" s="8"/>
      <c r="F147" s="8"/>
      <c r="N147" s="8"/>
      <c r="O147" s="8"/>
      <c r="P147" s="8"/>
      <c r="Q147" s="8"/>
    </row>
    <row r="148" spans="2:17" x14ac:dyDescent="0.3">
      <c r="B148" s="22"/>
      <c r="C148" s="8"/>
      <c r="D148" s="8"/>
      <c r="E148" s="8"/>
      <c r="F148" s="8"/>
      <c r="N148" s="8"/>
      <c r="O148" s="8"/>
      <c r="P148" s="8"/>
      <c r="Q148" s="8"/>
    </row>
    <row r="149" spans="2:17" x14ac:dyDescent="0.3">
      <c r="B149" s="22"/>
      <c r="C149" s="8"/>
      <c r="D149" s="8"/>
      <c r="E149" s="8"/>
      <c r="F149" s="8"/>
      <c r="N149" s="8"/>
      <c r="O149" s="8"/>
      <c r="P149" s="8"/>
      <c r="Q149" s="8"/>
    </row>
    <row r="150" spans="2:17" x14ac:dyDescent="0.3">
      <c r="B150" s="22"/>
      <c r="C150" s="8"/>
      <c r="D150" s="8"/>
      <c r="E150" s="8"/>
      <c r="F150" s="8"/>
      <c r="N150" s="8"/>
      <c r="O150" s="8"/>
      <c r="P150" s="8"/>
      <c r="Q150" s="8"/>
    </row>
    <row r="151" spans="2:17" x14ac:dyDescent="0.3">
      <c r="B151" s="22"/>
      <c r="C151" s="8"/>
      <c r="D151" s="8"/>
      <c r="E151" s="8"/>
      <c r="F151" s="8"/>
      <c r="N151" s="8"/>
      <c r="O151" s="8"/>
      <c r="P151" s="8"/>
      <c r="Q151" s="8"/>
    </row>
    <row r="152" spans="2:17" x14ac:dyDescent="0.3">
      <c r="B152" s="22"/>
      <c r="C152" s="8"/>
      <c r="D152" s="8"/>
      <c r="E152" s="8"/>
      <c r="F152" s="8"/>
      <c r="N152" s="8"/>
      <c r="O152" s="8"/>
      <c r="P152" s="8"/>
      <c r="Q152" s="8"/>
    </row>
    <row r="153" spans="2:17" x14ac:dyDescent="0.3">
      <c r="B153" s="22"/>
      <c r="C153" s="8"/>
      <c r="D153" s="8"/>
      <c r="E153" s="8"/>
      <c r="F153" s="8"/>
      <c r="N153" s="8"/>
      <c r="O153" s="8"/>
      <c r="P153" s="8"/>
      <c r="Q153" s="8"/>
    </row>
    <row r="154" spans="2:17" x14ac:dyDescent="0.3">
      <c r="B154" s="22"/>
      <c r="C154" s="8"/>
      <c r="D154" s="8"/>
      <c r="E154" s="8"/>
      <c r="F154" s="8"/>
      <c r="N154" s="8"/>
      <c r="O154" s="8"/>
      <c r="P154" s="8"/>
      <c r="Q154" s="8"/>
    </row>
    <row r="155" spans="2:17" x14ac:dyDescent="0.3">
      <c r="B155" s="22"/>
      <c r="C155" s="8"/>
      <c r="D155" s="8"/>
      <c r="E155" s="8"/>
      <c r="F155" s="8"/>
      <c r="N155" s="8"/>
      <c r="O155" s="8"/>
      <c r="P155" s="8"/>
      <c r="Q155" s="8"/>
    </row>
    <row r="156" spans="2:17" x14ac:dyDescent="0.3">
      <c r="B156" s="22"/>
      <c r="C156" s="8"/>
      <c r="D156" s="8"/>
      <c r="E156" s="8"/>
      <c r="F156" s="8"/>
      <c r="N156" s="8"/>
      <c r="O156" s="8"/>
      <c r="P156" s="8"/>
      <c r="Q156" s="8"/>
    </row>
    <row r="157" spans="2:17" x14ac:dyDescent="0.3">
      <c r="B157" s="22"/>
      <c r="C157" s="8"/>
      <c r="D157" s="8"/>
      <c r="E157" s="8"/>
      <c r="F157" s="8"/>
      <c r="N157" s="8"/>
      <c r="O157" s="8"/>
      <c r="P157" s="8"/>
      <c r="Q157" s="8"/>
    </row>
    <row r="158" spans="2:17" x14ac:dyDescent="0.3">
      <c r="B158" s="22"/>
      <c r="C158" s="8"/>
      <c r="D158" s="8"/>
      <c r="E158" s="8"/>
      <c r="F158" s="8"/>
      <c r="N158" s="8"/>
      <c r="O158" s="8"/>
      <c r="P158" s="8"/>
      <c r="Q158" s="8"/>
    </row>
    <row r="159" spans="2:17" x14ac:dyDescent="0.3">
      <c r="B159" s="22"/>
      <c r="C159" s="8"/>
      <c r="D159" s="8"/>
      <c r="E159" s="8"/>
      <c r="F159" s="8"/>
      <c r="N159" s="8"/>
      <c r="O159" s="8"/>
      <c r="P159" s="8"/>
      <c r="Q159" s="8"/>
    </row>
    <row r="160" spans="2:17" x14ac:dyDescent="0.3">
      <c r="B160" s="22"/>
      <c r="C160" s="8"/>
      <c r="D160" s="8"/>
      <c r="E160" s="8"/>
      <c r="F160" s="8"/>
      <c r="N160" s="8"/>
      <c r="O160" s="8"/>
      <c r="P160" s="8"/>
      <c r="Q160" s="8"/>
    </row>
    <row r="161" spans="2:17" x14ac:dyDescent="0.3">
      <c r="B161" s="22"/>
      <c r="C161" s="8"/>
      <c r="D161" s="8"/>
      <c r="E161" s="8"/>
      <c r="F161" s="8"/>
      <c r="N161" s="8"/>
      <c r="O161" s="8"/>
      <c r="P161" s="8"/>
      <c r="Q161" s="8"/>
    </row>
    <row r="162" spans="2:17" x14ac:dyDescent="0.3">
      <c r="B162" s="22"/>
      <c r="C162" s="8"/>
      <c r="D162" s="8"/>
      <c r="E162" s="8"/>
      <c r="F162" s="8"/>
      <c r="N162" s="8"/>
      <c r="O162" s="8"/>
      <c r="P162" s="8"/>
      <c r="Q162" s="8"/>
    </row>
    <row r="163" spans="2:17" x14ac:dyDescent="0.3">
      <c r="B163" s="22"/>
      <c r="C163" s="8"/>
      <c r="D163" s="8"/>
      <c r="E163" s="8"/>
      <c r="F163" s="8"/>
      <c r="N163" s="8"/>
      <c r="O163" s="8"/>
      <c r="P163" s="8"/>
      <c r="Q163" s="8"/>
    </row>
    <row r="164" spans="2:17" x14ac:dyDescent="0.3">
      <c r="B164" s="22"/>
      <c r="C164" s="8"/>
      <c r="D164" s="8"/>
      <c r="E164" s="8"/>
      <c r="F164" s="8"/>
      <c r="N164" s="8"/>
      <c r="O164" s="8"/>
      <c r="P164" s="8"/>
      <c r="Q164" s="8"/>
    </row>
    <row r="165" spans="2:17" x14ac:dyDescent="0.3">
      <c r="B165" s="22"/>
      <c r="C165" s="8"/>
      <c r="D165" s="8"/>
      <c r="E165" s="8"/>
      <c r="F165" s="8"/>
      <c r="N165" s="8"/>
      <c r="O165" s="8"/>
      <c r="P165" s="8"/>
      <c r="Q165" s="8"/>
    </row>
    <row r="166" spans="2:17" x14ac:dyDescent="0.3">
      <c r="B166" s="22"/>
      <c r="C166" s="8"/>
      <c r="D166" s="8"/>
      <c r="E166" s="8"/>
      <c r="F166" s="8"/>
      <c r="N166" s="8"/>
      <c r="O166" s="8"/>
      <c r="P166" s="8"/>
      <c r="Q166" s="8"/>
    </row>
    <row r="167" spans="2:17" x14ac:dyDescent="0.3">
      <c r="B167" s="22"/>
      <c r="C167" s="8"/>
      <c r="D167" s="8"/>
      <c r="E167" s="8"/>
      <c r="F167" s="8"/>
      <c r="N167" s="8"/>
      <c r="O167" s="8"/>
      <c r="P167" s="8"/>
      <c r="Q167" s="8"/>
    </row>
    <row r="168" spans="2:17" x14ac:dyDescent="0.3">
      <c r="B168" s="22"/>
      <c r="C168" s="8"/>
      <c r="D168" s="8"/>
      <c r="E168" s="8"/>
      <c r="F168" s="8"/>
      <c r="N168" s="8"/>
      <c r="O168" s="8"/>
      <c r="P168" s="8"/>
      <c r="Q168" s="8"/>
    </row>
    <row r="169" spans="2:17" x14ac:dyDescent="0.3">
      <c r="B169" s="22"/>
      <c r="C169" s="8"/>
      <c r="D169" s="8"/>
      <c r="E169" s="8"/>
      <c r="F169" s="8"/>
      <c r="N169" s="8"/>
      <c r="O169" s="8"/>
      <c r="P169" s="8"/>
      <c r="Q169" s="8"/>
    </row>
    <row r="170" spans="2:17" x14ac:dyDescent="0.3">
      <c r="B170" s="22"/>
      <c r="C170" s="8"/>
      <c r="D170" s="8"/>
      <c r="E170" s="8"/>
      <c r="F170" s="8"/>
      <c r="N170" s="8"/>
      <c r="O170" s="8"/>
      <c r="P170" s="8"/>
      <c r="Q170" s="8"/>
    </row>
    <row r="171" spans="2:17" x14ac:dyDescent="0.3">
      <c r="B171" s="22"/>
      <c r="C171" s="8"/>
      <c r="D171" s="8"/>
      <c r="E171" s="8"/>
      <c r="F171" s="8"/>
      <c r="N171" s="8"/>
      <c r="O171" s="8"/>
      <c r="P171" s="8"/>
      <c r="Q171" s="8"/>
    </row>
    <row r="172" spans="2:17" x14ac:dyDescent="0.3">
      <c r="B172" s="22"/>
      <c r="C172" s="8"/>
      <c r="D172" s="8"/>
      <c r="E172" s="8"/>
      <c r="F172" s="8"/>
      <c r="N172" s="8"/>
      <c r="O172" s="8"/>
      <c r="P172" s="8"/>
      <c r="Q172" s="8"/>
    </row>
    <row r="173" spans="2:17" x14ac:dyDescent="0.3">
      <c r="B173" s="22"/>
      <c r="C173" s="8"/>
      <c r="D173" s="8"/>
      <c r="E173" s="8"/>
      <c r="F173" s="8"/>
      <c r="N173" s="8"/>
      <c r="O173" s="8"/>
      <c r="P173" s="8"/>
      <c r="Q173" s="8"/>
    </row>
    <row r="174" spans="2:17" x14ac:dyDescent="0.3">
      <c r="B174" s="22"/>
      <c r="C174" s="8"/>
      <c r="D174" s="8"/>
      <c r="E174" s="8"/>
      <c r="F174" s="8"/>
      <c r="N174" s="8"/>
      <c r="O174" s="8"/>
      <c r="P174" s="8"/>
      <c r="Q174" s="8"/>
    </row>
    <row r="175" spans="2:17" x14ac:dyDescent="0.3">
      <c r="B175" s="22"/>
      <c r="C175" s="8"/>
      <c r="D175" s="8"/>
      <c r="E175" s="8"/>
      <c r="F175" s="8"/>
      <c r="N175" s="8"/>
      <c r="O175" s="8"/>
      <c r="P175" s="8"/>
      <c r="Q175" s="8"/>
    </row>
    <row r="176" spans="2:17" x14ac:dyDescent="0.3">
      <c r="B176" s="22"/>
      <c r="C176" s="8"/>
      <c r="D176" s="8"/>
      <c r="E176" s="8"/>
      <c r="F176" s="8"/>
      <c r="N176" s="8"/>
      <c r="O176" s="8"/>
      <c r="P176" s="8"/>
      <c r="Q176" s="8"/>
    </row>
    <row r="177" spans="2:17" x14ac:dyDescent="0.3">
      <c r="B177" s="22"/>
      <c r="C177" s="8"/>
      <c r="D177" s="8"/>
      <c r="E177" s="8"/>
      <c r="F177" s="8"/>
      <c r="N177" s="8"/>
      <c r="O177" s="8"/>
      <c r="P177" s="8"/>
      <c r="Q177" s="8"/>
    </row>
    <row r="178" spans="2:17" x14ac:dyDescent="0.3">
      <c r="B178" s="22"/>
      <c r="C178" s="8"/>
      <c r="D178" s="8"/>
      <c r="E178" s="8"/>
      <c r="F178" s="8"/>
      <c r="N178" s="8"/>
      <c r="O178" s="8"/>
      <c r="P178" s="8"/>
      <c r="Q178" s="8"/>
    </row>
    <row r="179" spans="2:17" x14ac:dyDescent="0.3">
      <c r="B179" s="22"/>
      <c r="C179" s="8"/>
      <c r="D179" s="8"/>
      <c r="E179" s="8"/>
      <c r="F179" s="8"/>
      <c r="N179" s="8"/>
      <c r="O179" s="8"/>
      <c r="P179" s="8"/>
      <c r="Q179" s="8"/>
    </row>
    <row r="180" spans="2:17" x14ac:dyDescent="0.3">
      <c r="B180" s="22"/>
      <c r="C180" s="8"/>
      <c r="D180" s="8"/>
      <c r="E180" s="8"/>
      <c r="F180" s="8"/>
      <c r="N180" s="8"/>
      <c r="O180" s="8"/>
      <c r="P180" s="8"/>
      <c r="Q180" s="8"/>
    </row>
    <row r="181" spans="2:17" x14ac:dyDescent="0.3">
      <c r="B181" s="22"/>
      <c r="C181" s="8"/>
      <c r="D181" s="8"/>
      <c r="E181" s="8"/>
      <c r="F181" s="8"/>
      <c r="N181" s="8"/>
      <c r="O181" s="8"/>
      <c r="P181" s="8"/>
      <c r="Q181" s="8"/>
    </row>
    <row r="182" spans="2:17" x14ac:dyDescent="0.3">
      <c r="B182" s="22"/>
      <c r="C182" s="8"/>
      <c r="D182" s="8"/>
      <c r="E182" s="8"/>
      <c r="F182" s="8"/>
      <c r="N182" s="8"/>
      <c r="O182" s="8"/>
      <c r="P182" s="8"/>
      <c r="Q182" s="8"/>
    </row>
    <row r="183" spans="2:17" x14ac:dyDescent="0.3">
      <c r="B183" s="22"/>
      <c r="C183" s="8"/>
      <c r="D183" s="8"/>
      <c r="E183" s="8"/>
      <c r="F183" s="8"/>
      <c r="N183" s="8"/>
      <c r="O183" s="8"/>
      <c r="P183" s="8"/>
      <c r="Q183" s="8"/>
    </row>
    <row r="184" spans="2:17" x14ac:dyDescent="0.3">
      <c r="B184" s="22"/>
      <c r="C184" s="8"/>
      <c r="D184" s="8"/>
      <c r="E184" s="8"/>
      <c r="F184" s="8"/>
      <c r="N184" s="8"/>
      <c r="O184" s="8"/>
      <c r="P184" s="8"/>
      <c r="Q184" s="8"/>
    </row>
    <row r="185" spans="2:17" x14ac:dyDescent="0.3">
      <c r="B185" s="22"/>
      <c r="C185" s="8"/>
      <c r="D185" s="8"/>
      <c r="E185" s="8"/>
      <c r="F185" s="8"/>
      <c r="N185" s="8"/>
      <c r="O185" s="8"/>
      <c r="P185" s="8"/>
      <c r="Q185" s="8"/>
    </row>
    <row r="186" spans="2:17" x14ac:dyDescent="0.3">
      <c r="B186" s="22"/>
      <c r="C186" s="8"/>
      <c r="D186" s="8"/>
      <c r="E186" s="8"/>
      <c r="F186" s="8"/>
      <c r="N186" s="8"/>
      <c r="O186" s="8"/>
      <c r="P186" s="8"/>
      <c r="Q186" s="8"/>
    </row>
    <row r="187" spans="2:17" x14ac:dyDescent="0.3">
      <c r="B187" s="22"/>
      <c r="C187" s="8"/>
      <c r="D187" s="8"/>
      <c r="E187" s="8"/>
      <c r="F187" s="8"/>
      <c r="N187" s="8"/>
      <c r="O187" s="8"/>
      <c r="P187" s="8"/>
      <c r="Q187" s="8"/>
    </row>
    <row r="188" spans="2:17" x14ac:dyDescent="0.3">
      <c r="B188" s="22"/>
      <c r="C188" s="8"/>
      <c r="D188" s="8"/>
      <c r="E188" s="8"/>
      <c r="F188" s="8"/>
      <c r="N188" s="8"/>
      <c r="O188" s="8"/>
      <c r="P188" s="8"/>
      <c r="Q188" s="8"/>
    </row>
    <row r="189" spans="2:17" x14ac:dyDescent="0.3">
      <c r="B189" s="22"/>
      <c r="C189" s="8"/>
      <c r="D189" s="8"/>
      <c r="E189" s="8"/>
      <c r="F189" s="8"/>
      <c r="N189" s="8"/>
      <c r="O189" s="8"/>
      <c r="P189" s="8"/>
      <c r="Q189" s="8"/>
    </row>
    <row r="190" spans="2:17" x14ac:dyDescent="0.3">
      <c r="B190" s="22"/>
      <c r="C190" s="8"/>
      <c r="D190" s="8"/>
      <c r="E190" s="8"/>
      <c r="F190" s="8"/>
      <c r="N190" s="8"/>
      <c r="O190" s="8"/>
      <c r="P190" s="8"/>
      <c r="Q190" s="8"/>
    </row>
    <row r="191" spans="2:17" x14ac:dyDescent="0.3">
      <c r="B191" s="22"/>
      <c r="C191" s="8"/>
      <c r="D191" s="8"/>
      <c r="E191" s="8"/>
      <c r="F191" s="8"/>
      <c r="N191" s="8"/>
      <c r="O191" s="8"/>
      <c r="P191" s="8"/>
      <c r="Q191" s="8"/>
    </row>
    <row r="192" spans="2:17" x14ac:dyDescent="0.3">
      <c r="B192" s="22"/>
      <c r="C192" s="8"/>
      <c r="D192" s="8"/>
      <c r="E192" s="8"/>
      <c r="F192" s="8"/>
      <c r="N192" s="8"/>
      <c r="O192" s="8"/>
      <c r="P192" s="8"/>
      <c r="Q192" s="8"/>
    </row>
    <row r="193" spans="2:17" x14ac:dyDescent="0.3">
      <c r="B193" s="22"/>
      <c r="C193" s="8"/>
      <c r="D193" s="8"/>
      <c r="E193" s="8"/>
      <c r="F193" s="8"/>
      <c r="N193" s="8"/>
      <c r="O193" s="8"/>
      <c r="P193" s="8"/>
      <c r="Q193" s="8"/>
    </row>
    <row r="194" spans="2:17" x14ac:dyDescent="0.3">
      <c r="B194" s="22"/>
      <c r="C194" s="8"/>
      <c r="D194" s="8"/>
      <c r="E194" s="8"/>
      <c r="F194" s="8"/>
      <c r="N194" s="8"/>
      <c r="O194" s="8"/>
      <c r="P194" s="8"/>
      <c r="Q194" s="8"/>
    </row>
    <row r="195" spans="2:17" x14ac:dyDescent="0.3">
      <c r="B195" s="22"/>
      <c r="C195" s="8"/>
      <c r="D195" s="8"/>
      <c r="E195" s="8"/>
      <c r="F195" s="8"/>
      <c r="N195" s="8"/>
      <c r="O195" s="8"/>
      <c r="P195" s="8"/>
      <c r="Q195" s="8"/>
    </row>
    <row r="196" spans="2:17" x14ac:dyDescent="0.3">
      <c r="B196" s="22"/>
      <c r="C196" s="8"/>
      <c r="D196" s="8"/>
      <c r="E196" s="8"/>
      <c r="F196" s="8"/>
      <c r="N196" s="8"/>
      <c r="O196" s="8"/>
      <c r="P196" s="8"/>
      <c r="Q196" s="8"/>
    </row>
    <row r="197" spans="2:17" x14ac:dyDescent="0.3">
      <c r="B197" s="22"/>
      <c r="C197" s="8"/>
      <c r="D197" s="8"/>
      <c r="E197" s="8"/>
      <c r="F197" s="8"/>
      <c r="N197" s="8"/>
      <c r="O197" s="8"/>
      <c r="P197" s="8"/>
      <c r="Q197" s="8"/>
    </row>
    <row r="198" spans="2:17" x14ac:dyDescent="0.3">
      <c r="B198" s="22"/>
      <c r="C198" s="8"/>
      <c r="D198" s="8"/>
      <c r="E198" s="8"/>
      <c r="F198" s="8"/>
      <c r="N198" s="8"/>
      <c r="O198" s="8"/>
      <c r="P198" s="8"/>
      <c r="Q198" s="8"/>
    </row>
    <row r="199" spans="2:17" x14ac:dyDescent="0.3">
      <c r="B199" s="22"/>
      <c r="C199" s="8"/>
      <c r="D199" s="8"/>
      <c r="E199" s="8"/>
      <c r="F199" s="8"/>
      <c r="N199" s="8"/>
      <c r="O199" s="8"/>
      <c r="P199" s="8"/>
      <c r="Q199" s="8"/>
    </row>
    <row r="200" spans="2:17" x14ac:dyDescent="0.3">
      <c r="B200" s="22"/>
      <c r="C200" s="8"/>
      <c r="D200" s="8"/>
      <c r="E200" s="8"/>
      <c r="F200" s="8"/>
      <c r="N200" s="8"/>
      <c r="O200" s="8"/>
      <c r="P200" s="8"/>
      <c r="Q200" s="8"/>
    </row>
    <row r="201" spans="2:17" x14ac:dyDescent="0.3">
      <c r="B201" s="22"/>
      <c r="C201" s="8"/>
      <c r="D201" s="8"/>
      <c r="E201" s="8"/>
      <c r="F201" s="8"/>
      <c r="N201" s="8"/>
      <c r="O201" s="8"/>
      <c r="P201" s="8"/>
      <c r="Q201" s="8"/>
    </row>
    <row r="202" spans="2:17" x14ac:dyDescent="0.3">
      <c r="B202" s="22"/>
      <c r="C202" s="8"/>
      <c r="D202" s="8"/>
      <c r="E202" s="8"/>
      <c r="F202" s="8"/>
      <c r="N202" s="8"/>
      <c r="O202" s="8"/>
      <c r="P202" s="8"/>
      <c r="Q202" s="8"/>
    </row>
    <row r="203" spans="2:17" x14ac:dyDescent="0.3">
      <c r="B203" s="22"/>
      <c r="C203" s="8"/>
      <c r="D203" s="8"/>
      <c r="E203" s="8"/>
      <c r="F203" s="8"/>
      <c r="N203" s="8"/>
      <c r="O203" s="8"/>
      <c r="P203" s="8"/>
      <c r="Q203" s="8"/>
    </row>
    <row r="204" spans="2:17" x14ac:dyDescent="0.3">
      <c r="B204" s="22"/>
      <c r="C204" s="8"/>
      <c r="D204" s="8"/>
      <c r="E204" s="8"/>
      <c r="F204" s="8"/>
      <c r="N204" s="8"/>
      <c r="O204" s="8"/>
      <c r="P204" s="8"/>
      <c r="Q204" s="8"/>
    </row>
    <row r="205" spans="2:17" x14ac:dyDescent="0.3">
      <c r="B205" s="22"/>
      <c r="C205" s="8"/>
      <c r="D205" s="8"/>
      <c r="E205" s="8"/>
      <c r="F205" s="8"/>
      <c r="N205" s="8"/>
      <c r="O205" s="8"/>
      <c r="P205" s="8"/>
      <c r="Q205" s="8"/>
    </row>
    <row r="206" spans="2:17" x14ac:dyDescent="0.3">
      <c r="B206" s="22"/>
      <c r="C206" s="8"/>
      <c r="D206" s="8"/>
      <c r="E206" s="8"/>
      <c r="F206" s="8"/>
      <c r="N206" s="8"/>
      <c r="O206" s="8"/>
      <c r="P206" s="8"/>
      <c r="Q206" s="8"/>
    </row>
    <row r="207" spans="2:17" x14ac:dyDescent="0.3">
      <c r="B207" s="22"/>
      <c r="C207" s="8"/>
      <c r="D207" s="8"/>
      <c r="E207" s="8"/>
      <c r="F207" s="8"/>
      <c r="N207" s="8"/>
      <c r="O207" s="8"/>
      <c r="P207" s="8"/>
      <c r="Q207" s="8"/>
    </row>
    <row r="208" spans="2:17" x14ac:dyDescent="0.3">
      <c r="B208" s="22"/>
      <c r="C208" s="8"/>
      <c r="D208" s="8"/>
      <c r="E208" s="8"/>
      <c r="F208" s="8"/>
      <c r="N208" s="8"/>
      <c r="O208" s="8"/>
      <c r="P208" s="8"/>
      <c r="Q208" s="8"/>
    </row>
  </sheetData>
  <mergeCells count="11">
    <mergeCell ref="T1:T3"/>
    <mergeCell ref="U1:U3"/>
    <mergeCell ref="V1:V3"/>
    <mergeCell ref="A1:A3"/>
    <mergeCell ref="B1:B3"/>
    <mergeCell ref="C1:C2"/>
    <mergeCell ref="D1:D2"/>
    <mergeCell ref="R1:R3"/>
    <mergeCell ref="S1:S3"/>
    <mergeCell ref="E1:E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ED34-B569-49E1-8098-757A608FFE65}">
  <dimension ref="A1:X105"/>
  <sheetViews>
    <sheetView workbookViewId="0">
      <selection activeCell="F4" sqref="F4"/>
    </sheetView>
  </sheetViews>
  <sheetFormatPr defaultRowHeight="14.4" x14ac:dyDescent="0.3"/>
  <cols>
    <col min="1" max="1" width="6.88671875" bestFit="1" customWidth="1"/>
    <col min="2" max="2" width="7.88671875" customWidth="1"/>
    <col min="3" max="3" width="16" customWidth="1"/>
    <col min="4" max="4" width="14.33203125" customWidth="1"/>
    <col min="5" max="5" width="15.77734375" customWidth="1"/>
    <col min="6" max="6" width="16.33203125" customWidth="1"/>
    <col min="7" max="7" width="13.21875" customWidth="1"/>
    <col min="8" max="8" width="13.33203125" customWidth="1"/>
    <col min="9" max="9" width="12.21875" customWidth="1"/>
    <col min="10" max="10" width="12.109375" customWidth="1"/>
    <col min="11" max="11" width="11.33203125" customWidth="1"/>
    <col min="12" max="12" width="13.109375" customWidth="1"/>
    <col min="13" max="13" width="15.5546875" customWidth="1"/>
    <col min="14" max="14" width="12" customWidth="1"/>
    <col min="15" max="16" width="10.44140625" customWidth="1"/>
    <col min="17" max="17" width="14.88671875" customWidth="1"/>
    <col min="18" max="18" width="8.21875" bestFit="1" customWidth="1"/>
    <col min="19" max="19" width="8" bestFit="1" customWidth="1"/>
    <col min="20" max="20" width="7.6640625" bestFit="1" customWidth="1"/>
    <col min="21" max="21" width="17.88671875" customWidth="1"/>
    <col min="22" max="22" width="16.33203125" customWidth="1"/>
  </cols>
  <sheetData>
    <row r="1" spans="1:24" ht="43.8" thickBot="1" x14ac:dyDescent="0.35">
      <c r="A1" s="236" t="s">
        <v>0</v>
      </c>
      <c r="B1" s="239" t="s">
        <v>22</v>
      </c>
      <c r="C1" s="242" t="s">
        <v>23</v>
      </c>
      <c r="D1" s="242" t="s">
        <v>24</v>
      </c>
      <c r="E1" s="246" t="s">
        <v>42</v>
      </c>
      <c r="F1" s="257" t="s">
        <v>43</v>
      </c>
      <c r="G1" s="154" t="s">
        <v>31</v>
      </c>
      <c r="H1" s="154" t="s">
        <v>30</v>
      </c>
      <c r="I1" s="154" t="s">
        <v>25</v>
      </c>
      <c r="J1" s="154" t="s">
        <v>26</v>
      </c>
      <c r="K1" s="154" t="s">
        <v>27</v>
      </c>
      <c r="L1" s="154" t="s">
        <v>28</v>
      </c>
      <c r="M1" s="170" t="s">
        <v>29</v>
      </c>
      <c r="N1" s="157" t="s">
        <v>34</v>
      </c>
      <c r="O1" s="157" t="s">
        <v>35</v>
      </c>
      <c r="P1" s="157" t="s">
        <v>44</v>
      </c>
      <c r="Q1" s="158" t="s">
        <v>41</v>
      </c>
      <c r="R1" s="236" t="s">
        <v>37</v>
      </c>
      <c r="S1" s="236" t="s">
        <v>36</v>
      </c>
      <c r="T1" s="236" t="s">
        <v>33</v>
      </c>
      <c r="U1" s="236" t="s">
        <v>38</v>
      </c>
      <c r="V1" s="236" t="s">
        <v>39</v>
      </c>
    </row>
    <row r="2" spans="1:24" ht="43.8" thickBot="1" x14ac:dyDescent="0.35">
      <c r="A2" s="237"/>
      <c r="B2" s="240"/>
      <c r="C2" s="256"/>
      <c r="D2" s="256"/>
      <c r="E2" s="254"/>
      <c r="F2" s="258"/>
      <c r="G2" s="161" t="s">
        <v>32</v>
      </c>
      <c r="H2" s="161" t="s">
        <v>32</v>
      </c>
      <c r="I2" s="161" t="s">
        <v>32</v>
      </c>
      <c r="J2" s="161" t="s">
        <v>32</v>
      </c>
      <c r="K2" s="161" t="s">
        <v>32</v>
      </c>
      <c r="L2" s="161" t="s">
        <v>32</v>
      </c>
      <c r="M2" s="164" t="s">
        <v>32</v>
      </c>
      <c r="N2" s="161" t="s">
        <v>17</v>
      </c>
      <c r="O2" s="161" t="s">
        <v>17</v>
      </c>
      <c r="P2" s="161" t="s">
        <v>17</v>
      </c>
      <c r="Q2" s="161" t="s">
        <v>17</v>
      </c>
      <c r="R2" s="249"/>
      <c r="S2" s="237"/>
      <c r="T2" s="237"/>
      <c r="U2" s="237"/>
      <c r="V2" s="237"/>
    </row>
    <row r="3" spans="1:24" ht="15" thickBot="1" x14ac:dyDescent="0.35">
      <c r="A3" s="238"/>
      <c r="B3" s="255"/>
      <c r="C3" s="160">
        <v>35</v>
      </c>
      <c r="D3" s="160">
        <v>60</v>
      </c>
      <c r="E3" s="169">
        <v>20</v>
      </c>
      <c r="F3" s="174">
        <v>25</v>
      </c>
      <c r="G3" s="160">
        <v>32.630000000000003</v>
      </c>
      <c r="H3" s="162">
        <v>38.06</v>
      </c>
      <c r="I3" s="162">
        <v>33.25</v>
      </c>
      <c r="J3" s="162">
        <v>28.25</v>
      </c>
      <c r="K3" s="162">
        <v>33.25</v>
      </c>
      <c r="L3" s="162">
        <v>32.130000000000003</v>
      </c>
      <c r="M3" s="165">
        <v>48.25</v>
      </c>
      <c r="N3" s="163">
        <v>0.1</v>
      </c>
      <c r="O3" s="163">
        <v>0.35</v>
      </c>
      <c r="P3" s="163">
        <v>0.1</v>
      </c>
      <c r="Q3" s="163">
        <v>0.1</v>
      </c>
      <c r="R3" s="250"/>
      <c r="S3" s="238"/>
      <c r="T3" s="238"/>
      <c r="U3" s="238"/>
      <c r="V3" s="238"/>
    </row>
    <row r="4" spans="1:24" ht="28.8" x14ac:dyDescent="0.3">
      <c r="A4" s="147" cm="1">
        <f t="array" ref="A4:A53">_xlfn.SEQUENCE(50)</f>
        <v>1</v>
      </c>
      <c r="B4" s="148">
        <v>1</v>
      </c>
      <c r="C4" s="159">
        <f>B4*$C$3</f>
        <v>35</v>
      </c>
      <c r="D4" s="159">
        <f t="shared" ref="D4:D35" si="0">B4*$D$3</f>
        <v>60</v>
      </c>
      <c r="E4" s="159">
        <f>B6*$E$3</f>
        <v>60</v>
      </c>
      <c r="F4" s="159">
        <f t="shared" ref="F4:F35" si="1">B4*$F$3</f>
        <v>25</v>
      </c>
      <c r="G4" s="159">
        <f>36.38+$G$3</f>
        <v>69.010000000000005</v>
      </c>
      <c r="H4" s="46">
        <f>39.4+$H$3</f>
        <v>77.460000000000008</v>
      </c>
      <c r="I4" s="46">
        <f>35.75+$I$3</f>
        <v>69</v>
      </c>
      <c r="J4" s="46">
        <f>30.75+$J$3</f>
        <v>59</v>
      </c>
      <c r="K4" s="46">
        <f>37+$K$3</f>
        <v>70.25</v>
      </c>
      <c r="L4" s="46">
        <f>34.75+$L$3</f>
        <v>66.88</v>
      </c>
      <c r="M4" s="46">
        <f>51.25+$M$3</f>
        <v>99.5</v>
      </c>
      <c r="N4" s="159">
        <f>C4 + $N$3*C4</f>
        <v>38.5</v>
      </c>
      <c r="O4" s="159">
        <f t="shared" ref="O4:O35" si="2">D4 + $O$3*D4</f>
        <v>81</v>
      </c>
      <c r="P4" s="159">
        <f t="shared" ref="P4:P35" si="3">E4 + $P$3*E4</f>
        <v>66</v>
      </c>
      <c r="Q4" s="159">
        <f t="shared" ref="Q4:Q35" si="4">F4 + $Q$3*F4</f>
        <v>27.5</v>
      </c>
      <c r="R4" s="149">
        <f>MAX(F4:Q4)</f>
        <v>99.5</v>
      </c>
      <c r="S4" s="150">
        <f>MIN(N4:Q4)</f>
        <v>27.5</v>
      </c>
      <c r="T4" s="151">
        <f>R4 - S4</f>
        <v>72</v>
      </c>
      <c r="U4" s="152" t="str">
        <f>INDEX($C$1:$M$1, MATCH(MIN(C6:M6), C6:M6, 0))</f>
        <v>DTDC PER KG</v>
      </c>
      <c r="V4" s="153" t="str">
        <f>INDEX($N$1:$Q$1, MATCH(MAX(N4:Q4), N4:Q4,0))</f>
        <v>ANJANI COURIER SERVICE</v>
      </c>
      <c r="X4" t="str">
        <f>INDEX(G1:Q1,MATCH(MIN(G5:Q5),G5:Q5,0))</f>
        <v>SHREE MARUTI COURIER SERVICE</v>
      </c>
    </row>
    <row r="5" spans="1:24" x14ac:dyDescent="0.3">
      <c r="A5" s="142">
        <v>2</v>
      </c>
      <c r="B5" s="16">
        <f>B4 + 1</f>
        <v>2</v>
      </c>
      <c r="C5" s="13">
        <f>B5*$C$3</f>
        <v>70</v>
      </c>
      <c r="D5" s="13">
        <f t="shared" si="0"/>
        <v>120</v>
      </c>
      <c r="E5" s="12">
        <f>B6*$E$3</f>
        <v>60</v>
      </c>
      <c r="F5" s="12">
        <f t="shared" si="1"/>
        <v>50</v>
      </c>
      <c r="G5" s="13">
        <f>SUM(G4, $G$3*2)</f>
        <v>134.27000000000001</v>
      </c>
      <c r="H5" s="13">
        <f>SUM(H4, $H$3*2)</f>
        <v>153.58000000000001</v>
      </c>
      <c r="I5" s="13">
        <f>SUM(I4, $I$3*2)</f>
        <v>135.5</v>
      </c>
      <c r="J5" s="13">
        <f>SUM(J4, $J$3*2)</f>
        <v>115.5</v>
      </c>
      <c r="K5" s="13">
        <f>SUM(K4, $K$3*2)</f>
        <v>136.75</v>
      </c>
      <c r="L5" s="13">
        <f>SUM(L4, $L$3*2)</f>
        <v>131.13999999999999</v>
      </c>
      <c r="M5" s="13">
        <f>SUM(M4, $M$3*2)</f>
        <v>196</v>
      </c>
      <c r="N5" s="13">
        <f t="shared" ref="N5:N53" si="5">C5 + $N$3*C5</f>
        <v>77</v>
      </c>
      <c r="O5" s="13">
        <f t="shared" si="2"/>
        <v>162</v>
      </c>
      <c r="P5" s="12">
        <f t="shared" si="3"/>
        <v>66</v>
      </c>
      <c r="Q5" s="12">
        <f t="shared" si="4"/>
        <v>55</v>
      </c>
      <c r="R5" s="13">
        <f t="shared" ref="R5:R36" si="6">MAX(N5, O5, G5:Q5)</f>
        <v>196</v>
      </c>
      <c r="S5" s="13">
        <f t="shared" ref="S5:S36" si="7">MIN(N5, O5, G5:Q5)</f>
        <v>55</v>
      </c>
      <c r="T5" s="11">
        <f t="shared" ref="T5:T53" si="8">R5 - S5</f>
        <v>141</v>
      </c>
      <c r="U5" s="130"/>
      <c r="V5" s="131"/>
    </row>
    <row r="6" spans="1:24" x14ac:dyDescent="0.3">
      <c r="A6" s="142">
        <v>3</v>
      </c>
      <c r="B6" s="16">
        <f t="shared" ref="B6:B53" si="9">B5 + 1</f>
        <v>3</v>
      </c>
      <c r="C6" s="13">
        <f t="shared" ref="C6:C53" si="10">B6*$C$3</f>
        <v>105</v>
      </c>
      <c r="D6" s="13">
        <f t="shared" si="0"/>
        <v>180</v>
      </c>
      <c r="E6" s="12">
        <f>B6*$E$3</f>
        <v>60</v>
      </c>
      <c r="F6" s="12">
        <f t="shared" si="1"/>
        <v>75</v>
      </c>
      <c r="G6" s="13">
        <f t="shared" ref="G6:G53" si="11">SUM(G5, $G$3*2)</f>
        <v>199.53000000000003</v>
      </c>
      <c r="H6" s="13">
        <f t="shared" ref="H6:H53" si="12">SUM(H5, $H$3*2)</f>
        <v>229.70000000000002</v>
      </c>
      <c r="I6" s="13">
        <f t="shared" ref="I6:I53" si="13">SUM(I5, $I$3*2)</f>
        <v>202</v>
      </c>
      <c r="J6" s="13">
        <f t="shared" ref="J6:J53" si="14">SUM(J5, $J$3*2)</f>
        <v>172</v>
      </c>
      <c r="K6" s="13">
        <f t="shared" ref="K6:K53" si="15">SUM(K5, $K$3*2)</f>
        <v>203.25</v>
      </c>
      <c r="L6" s="13">
        <f t="shared" ref="L6:L53" si="16">SUM(L5, $L$3*2)</f>
        <v>195.39999999999998</v>
      </c>
      <c r="M6" s="13">
        <f t="shared" ref="M6:M53" si="17">SUM(M5, $M$3*2)</f>
        <v>292.5</v>
      </c>
      <c r="N6" s="13">
        <f t="shared" si="5"/>
        <v>115.5</v>
      </c>
      <c r="O6" s="13">
        <f t="shared" si="2"/>
        <v>243</v>
      </c>
      <c r="P6" s="12">
        <f t="shared" si="3"/>
        <v>66</v>
      </c>
      <c r="Q6" s="12">
        <f t="shared" si="4"/>
        <v>82.5</v>
      </c>
      <c r="R6" s="13">
        <f t="shared" si="6"/>
        <v>292.5</v>
      </c>
      <c r="S6" s="13">
        <f t="shared" si="7"/>
        <v>66</v>
      </c>
      <c r="T6" s="11">
        <f t="shared" si="8"/>
        <v>226.5</v>
      </c>
      <c r="U6" s="130"/>
      <c r="V6" s="131"/>
    </row>
    <row r="7" spans="1:24" x14ac:dyDescent="0.3">
      <c r="A7" s="142">
        <v>4</v>
      </c>
      <c r="B7" s="16">
        <f t="shared" si="9"/>
        <v>4</v>
      </c>
      <c r="C7" s="13">
        <f t="shared" si="10"/>
        <v>140</v>
      </c>
      <c r="D7" s="13">
        <f t="shared" si="0"/>
        <v>240</v>
      </c>
      <c r="E7" s="12">
        <f>B7*$E$3</f>
        <v>80</v>
      </c>
      <c r="F7" s="12">
        <f t="shared" si="1"/>
        <v>100</v>
      </c>
      <c r="G7" s="13">
        <f t="shared" si="11"/>
        <v>264.79000000000002</v>
      </c>
      <c r="H7" s="13">
        <f t="shared" si="12"/>
        <v>305.82000000000005</v>
      </c>
      <c r="I7" s="13">
        <f t="shared" si="13"/>
        <v>268.5</v>
      </c>
      <c r="J7" s="13">
        <f t="shared" si="14"/>
        <v>228.5</v>
      </c>
      <c r="K7" s="13">
        <f t="shared" si="15"/>
        <v>269.75</v>
      </c>
      <c r="L7" s="13">
        <f t="shared" si="16"/>
        <v>259.65999999999997</v>
      </c>
      <c r="M7" s="13">
        <f t="shared" si="17"/>
        <v>389</v>
      </c>
      <c r="N7" s="13">
        <f t="shared" si="5"/>
        <v>154</v>
      </c>
      <c r="O7" s="13">
        <f t="shared" si="2"/>
        <v>324</v>
      </c>
      <c r="P7" s="12">
        <f t="shared" si="3"/>
        <v>88</v>
      </c>
      <c r="Q7" s="12">
        <f t="shared" si="4"/>
        <v>110</v>
      </c>
      <c r="R7" s="13">
        <f t="shared" si="6"/>
        <v>389</v>
      </c>
      <c r="S7" s="13">
        <f t="shared" si="7"/>
        <v>88</v>
      </c>
      <c r="T7" s="11">
        <f t="shared" si="8"/>
        <v>301</v>
      </c>
      <c r="U7" s="130"/>
      <c r="V7" s="131"/>
    </row>
    <row r="8" spans="1:24" x14ac:dyDescent="0.3">
      <c r="A8" s="142">
        <v>5</v>
      </c>
      <c r="B8" s="16">
        <f t="shared" si="9"/>
        <v>5</v>
      </c>
      <c r="C8" s="13">
        <f t="shared" si="10"/>
        <v>175</v>
      </c>
      <c r="D8" s="13">
        <f t="shared" si="0"/>
        <v>300</v>
      </c>
      <c r="E8" s="12">
        <f t="shared" ref="E8:E35" si="18">B8*$E$3</f>
        <v>100</v>
      </c>
      <c r="F8" s="12">
        <f t="shared" si="1"/>
        <v>125</v>
      </c>
      <c r="G8" s="13">
        <f t="shared" si="11"/>
        <v>330.05</v>
      </c>
      <c r="H8" s="13">
        <f t="shared" si="12"/>
        <v>381.94000000000005</v>
      </c>
      <c r="I8" s="13">
        <f t="shared" si="13"/>
        <v>335</v>
      </c>
      <c r="J8" s="13">
        <f t="shared" si="14"/>
        <v>285</v>
      </c>
      <c r="K8" s="13">
        <f t="shared" si="15"/>
        <v>336.25</v>
      </c>
      <c r="L8" s="13">
        <f t="shared" si="16"/>
        <v>323.91999999999996</v>
      </c>
      <c r="M8" s="13">
        <f t="shared" si="17"/>
        <v>485.5</v>
      </c>
      <c r="N8" s="13">
        <f t="shared" si="5"/>
        <v>192.5</v>
      </c>
      <c r="O8" s="13">
        <f t="shared" si="2"/>
        <v>405</v>
      </c>
      <c r="P8" s="12">
        <f t="shared" si="3"/>
        <v>110</v>
      </c>
      <c r="Q8" s="12">
        <f t="shared" si="4"/>
        <v>137.5</v>
      </c>
      <c r="R8" s="13">
        <f t="shared" si="6"/>
        <v>485.5</v>
      </c>
      <c r="S8" s="13">
        <f t="shared" si="7"/>
        <v>110</v>
      </c>
      <c r="T8" s="11">
        <f t="shared" si="8"/>
        <v>375.5</v>
      </c>
      <c r="U8" s="130"/>
      <c r="V8" s="131"/>
    </row>
    <row r="9" spans="1:24" x14ac:dyDescent="0.3">
      <c r="A9" s="142">
        <v>6</v>
      </c>
      <c r="B9" s="16">
        <f t="shared" si="9"/>
        <v>6</v>
      </c>
      <c r="C9" s="13">
        <f t="shared" si="10"/>
        <v>210</v>
      </c>
      <c r="D9" s="13">
        <f t="shared" si="0"/>
        <v>360</v>
      </c>
      <c r="E9" s="12">
        <f t="shared" si="18"/>
        <v>120</v>
      </c>
      <c r="F9" s="12">
        <f t="shared" si="1"/>
        <v>150</v>
      </c>
      <c r="G9" s="13">
        <f t="shared" si="11"/>
        <v>395.31</v>
      </c>
      <c r="H9" s="13">
        <f t="shared" si="12"/>
        <v>458.06000000000006</v>
      </c>
      <c r="I9" s="13">
        <f t="shared" si="13"/>
        <v>401.5</v>
      </c>
      <c r="J9" s="13">
        <f t="shared" si="14"/>
        <v>341.5</v>
      </c>
      <c r="K9" s="13">
        <f t="shared" si="15"/>
        <v>402.75</v>
      </c>
      <c r="L9" s="13">
        <f t="shared" si="16"/>
        <v>388.17999999999995</v>
      </c>
      <c r="M9" s="13">
        <f t="shared" si="17"/>
        <v>582</v>
      </c>
      <c r="N9" s="13">
        <f t="shared" si="5"/>
        <v>231</v>
      </c>
      <c r="O9" s="13">
        <f t="shared" si="2"/>
        <v>486</v>
      </c>
      <c r="P9" s="12">
        <f t="shared" si="3"/>
        <v>132</v>
      </c>
      <c r="Q9" s="12">
        <f t="shared" si="4"/>
        <v>165</v>
      </c>
      <c r="R9" s="13">
        <f t="shared" si="6"/>
        <v>582</v>
      </c>
      <c r="S9" s="13">
        <f t="shared" si="7"/>
        <v>132</v>
      </c>
      <c r="T9" s="11">
        <f t="shared" si="8"/>
        <v>450</v>
      </c>
      <c r="U9" s="130"/>
      <c r="V9" s="131"/>
    </row>
    <row r="10" spans="1:24" x14ac:dyDescent="0.3">
      <c r="A10" s="142">
        <v>7</v>
      </c>
      <c r="B10" s="16">
        <f t="shared" si="9"/>
        <v>7</v>
      </c>
      <c r="C10" s="13">
        <f t="shared" si="10"/>
        <v>245</v>
      </c>
      <c r="D10" s="13">
        <f t="shared" si="0"/>
        <v>420</v>
      </c>
      <c r="E10" s="12">
        <f t="shared" si="18"/>
        <v>140</v>
      </c>
      <c r="F10" s="12">
        <f t="shared" si="1"/>
        <v>175</v>
      </c>
      <c r="G10" s="13">
        <f t="shared" si="11"/>
        <v>460.57</v>
      </c>
      <c r="H10" s="13">
        <f t="shared" si="12"/>
        <v>534.18000000000006</v>
      </c>
      <c r="I10" s="13">
        <f t="shared" si="13"/>
        <v>468</v>
      </c>
      <c r="J10" s="13">
        <f t="shared" si="14"/>
        <v>398</v>
      </c>
      <c r="K10" s="13">
        <f t="shared" si="15"/>
        <v>469.25</v>
      </c>
      <c r="L10" s="13">
        <f t="shared" si="16"/>
        <v>452.43999999999994</v>
      </c>
      <c r="M10" s="13">
        <f t="shared" si="17"/>
        <v>678.5</v>
      </c>
      <c r="N10" s="13">
        <f t="shared" si="5"/>
        <v>269.5</v>
      </c>
      <c r="O10" s="13">
        <f t="shared" si="2"/>
        <v>567</v>
      </c>
      <c r="P10" s="12">
        <f t="shared" si="3"/>
        <v>154</v>
      </c>
      <c r="Q10" s="12">
        <f t="shared" si="4"/>
        <v>192.5</v>
      </c>
      <c r="R10" s="13">
        <f t="shared" si="6"/>
        <v>678.5</v>
      </c>
      <c r="S10" s="13">
        <f t="shared" si="7"/>
        <v>154</v>
      </c>
      <c r="T10" s="11">
        <f t="shared" si="8"/>
        <v>524.5</v>
      </c>
      <c r="U10" s="130"/>
      <c r="V10" s="131"/>
    </row>
    <row r="11" spans="1:24" x14ac:dyDescent="0.3">
      <c r="A11" s="142">
        <v>8</v>
      </c>
      <c r="B11" s="16">
        <f t="shared" si="9"/>
        <v>8</v>
      </c>
      <c r="C11" s="13">
        <f t="shared" si="10"/>
        <v>280</v>
      </c>
      <c r="D11" s="13">
        <f t="shared" si="0"/>
        <v>480</v>
      </c>
      <c r="E11" s="12">
        <f t="shared" si="18"/>
        <v>160</v>
      </c>
      <c r="F11" s="12">
        <f t="shared" si="1"/>
        <v>200</v>
      </c>
      <c r="G11" s="13">
        <f t="shared" si="11"/>
        <v>525.83000000000004</v>
      </c>
      <c r="H11" s="13">
        <f t="shared" si="12"/>
        <v>610.30000000000007</v>
      </c>
      <c r="I11" s="13">
        <f t="shared" si="13"/>
        <v>534.5</v>
      </c>
      <c r="J11" s="13">
        <f t="shared" si="14"/>
        <v>454.5</v>
      </c>
      <c r="K11" s="13">
        <f t="shared" si="15"/>
        <v>535.75</v>
      </c>
      <c r="L11" s="13">
        <f t="shared" si="16"/>
        <v>516.69999999999993</v>
      </c>
      <c r="M11" s="13">
        <f t="shared" si="17"/>
        <v>775</v>
      </c>
      <c r="N11" s="13">
        <f t="shared" si="5"/>
        <v>308</v>
      </c>
      <c r="O11" s="13">
        <f t="shared" si="2"/>
        <v>648</v>
      </c>
      <c r="P11" s="12">
        <f t="shared" si="3"/>
        <v>176</v>
      </c>
      <c r="Q11" s="12">
        <f t="shared" si="4"/>
        <v>220</v>
      </c>
      <c r="R11" s="13">
        <f t="shared" si="6"/>
        <v>775</v>
      </c>
      <c r="S11" s="13">
        <f t="shared" si="7"/>
        <v>176</v>
      </c>
      <c r="T11" s="11">
        <f t="shared" si="8"/>
        <v>599</v>
      </c>
      <c r="U11" s="130"/>
      <c r="V11" s="131"/>
    </row>
    <row r="12" spans="1:24" x14ac:dyDescent="0.3">
      <c r="A12" s="142">
        <v>9</v>
      </c>
      <c r="B12" s="16">
        <f t="shared" si="9"/>
        <v>9</v>
      </c>
      <c r="C12" s="13">
        <f t="shared" si="10"/>
        <v>315</v>
      </c>
      <c r="D12" s="13">
        <f t="shared" si="0"/>
        <v>540</v>
      </c>
      <c r="E12" s="12">
        <f t="shared" si="18"/>
        <v>180</v>
      </c>
      <c r="F12" s="12">
        <f t="shared" si="1"/>
        <v>225</v>
      </c>
      <c r="G12" s="13">
        <f t="shared" si="11"/>
        <v>591.09</v>
      </c>
      <c r="H12" s="13">
        <f t="shared" si="12"/>
        <v>686.42000000000007</v>
      </c>
      <c r="I12" s="13">
        <f t="shared" si="13"/>
        <v>601</v>
      </c>
      <c r="J12" s="13">
        <f t="shared" si="14"/>
        <v>511</v>
      </c>
      <c r="K12" s="13">
        <f t="shared" si="15"/>
        <v>602.25</v>
      </c>
      <c r="L12" s="13">
        <f t="shared" si="16"/>
        <v>580.95999999999992</v>
      </c>
      <c r="M12" s="13">
        <f t="shared" si="17"/>
        <v>871.5</v>
      </c>
      <c r="N12" s="13">
        <f t="shared" si="5"/>
        <v>346.5</v>
      </c>
      <c r="O12" s="13">
        <f t="shared" si="2"/>
        <v>729</v>
      </c>
      <c r="P12" s="12">
        <f t="shared" si="3"/>
        <v>198</v>
      </c>
      <c r="Q12" s="12">
        <f t="shared" si="4"/>
        <v>247.5</v>
      </c>
      <c r="R12" s="13">
        <f t="shared" si="6"/>
        <v>871.5</v>
      </c>
      <c r="S12" s="13">
        <f t="shared" si="7"/>
        <v>198</v>
      </c>
      <c r="T12" s="11">
        <f t="shared" si="8"/>
        <v>673.5</v>
      </c>
      <c r="U12" s="130"/>
      <c r="V12" s="131"/>
    </row>
    <row r="13" spans="1:24" x14ac:dyDescent="0.3">
      <c r="A13" s="142">
        <v>10</v>
      </c>
      <c r="B13" s="16">
        <f t="shared" si="9"/>
        <v>10</v>
      </c>
      <c r="C13" s="13">
        <f t="shared" si="10"/>
        <v>350</v>
      </c>
      <c r="D13" s="13">
        <f t="shared" si="0"/>
        <v>600</v>
      </c>
      <c r="E13" s="12">
        <f t="shared" si="18"/>
        <v>200</v>
      </c>
      <c r="F13" s="12">
        <f t="shared" si="1"/>
        <v>250</v>
      </c>
      <c r="G13" s="13">
        <f t="shared" si="11"/>
        <v>656.35</v>
      </c>
      <c r="H13" s="13">
        <f t="shared" si="12"/>
        <v>762.54000000000008</v>
      </c>
      <c r="I13" s="13">
        <f t="shared" si="13"/>
        <v>667.5</v>
      </c>
      <c r="J13" s="13">
        <f t="shared" si="14"/>
        <v>567.5</v>
      </c>
      <c r="K13" s="13">
        <f t="shared" si="15"/>
        <v>668.75</v>
      </c>
      <c r="L13" s="13">
        <f t="shared" si="16"/>
        <v>645.21999999999991</v>
      </c>
      <c r="M13" s="13">
        <f t="shared" si="17"/>
        <v>968</v>
      </c>
      <c r="N13" s="13">
        <f t="shared" si="5"/>
        <v>385</v>
      </c>
      <c r="O13" s="13">
        <f t="shared" si="2"/>
        <v>810</v>
      </c>
      <c r="P13" s="12">
        <f t="shared" si="3"/>
        <v>220</v>
      </c>
      <c r="Q13" s="12">
        <f t="shared" si="4"/>
        <v>275</v>
      </c>
      <c r="R13" s="13">
        <f t="shared" si="6"/>
        <v>968</v>
      </c>
      <c r="S13" s="13">
        <f t="shared" si="7"/>
        <v>220</v>
      </c>
      <c r="T13" s="11">
        <f t="shared" si="8"/>
        <v>748</v>
      </c>
      <c r="U13" s="130"/>
      <c r="V13" s="131"/>
    </row>
    <row r="14" spans="1:24" x14ac:dyDescent="0.3">
      <c r="A14" s="142">
        <v>11</v>
      </c>
      <c r="B14" s="16">
        <f t="shared" si="9"/>
        <v>11</v>
      </c>
      <c r="C14" s="13">
        <f t="shared" si="10"/>
        <v>385</v>
      </c>
      <c r="D14" s="13">
        <f t="shared" si="0"/>
        <v>660</v>
      </c>
      <c r="E14" s="12">
        <f t="shared" si="18"/>
        <v>220</v>
      </c>
      <c r="F14" s="12">
        <f t="shared" si="1"/>
        <v>275</v>
      </c>
      <c r="G14" s="13">
        <f t="shared" si="11"/>
        <v>721.61</v>
      </c>
      <c r="H14" s="13">
        <f t="shared" si="12"/>
        <v>838.66000000000008</v>
      </c>
      <c r="I14" s="13">
        <f t="shared" si="13"/>
        <v>734</v>
      </c>
      <c r="J14" s="13">
        <f t="shared" si="14"/>
        <v>624</v>
      </c>
      <c r="K14" s="13">
        <f t="shared" si="15"/>
        <v>735.25</v>
      </c>
      <c r="L14" s="13">
        <f t="shared" si="16"/>
        <v>709.4799999999999</v>
      </c>
      <c r="M14" s="13">
        <f t="shared" si="17"/>
        <v>1064.5</v>
      </c>
      <c r="N14" s="13">
        <f t="shared" si="5"/>
        <v>423.5</v>
      </c>
      <c r="O14" s="13">
        <f t="shared" si="2"/>
        <v>891</v>
      </c>
      <c r="P14" s="12">
        <f t="shared" si="3"/>
        <v>242</v>
      </c>
      <c r="Q14" s="12">
        <f t="shared" si="4"/>
        <v>302.5</v>
      </c>
      <c r="R14" s="13">
        <f t="shared" si="6"/>
        <v>1064.5</v>
      </c>
      <c r="S14" s="13">
        <f t="shared" si="7"/>
        <v>242</v>
      </c>
      <c r="T14" s="11">
        <f t="shared" si="8"/>
        <v>822.5</v>
      </c>
      <c r="U14" s="130"/>
      <c r="V14" s="131"/>
    </row>
    <row r="15" spans="1:24" x14ac:dyDescent="0.3">
      <c r="A15" s="142">
        <v>12</v>
      </c>
      <c r="B15" s="16">
        <f t="shared" si="9"/>
        <v>12</v>
      </c>
      <c r="C15" s="13">
        <f t="shared" si="10"/>
        <v>420</v>
      </c>
      <c r="D15" s="13">
        <f t="shared" si="0"/>
        <v>720</v>
      </c>
      <c r="E15" s="12">
        <f t="shared" si="18"/>
        <v>240</v>
      </c>
      <c r="F15" s="12">
        <f t="shared" si="1"/>
        <v>300</v>
      </c>
      <c r="G15" s="13">
        <f t="shared" si="11"/>
        <v>786.87</v>
      </c>
      <c r="H15" s="13">
        <f t="shared" si="12"/>
        <v>914.78000000000009</v>
      </c>
      <c r="I15" s="13">
        <f t="shared" si="13"/>
        <v>800.5</v>
      </c>
      <c r="J15" s="13">
        <f t="shared" si="14"/>
        <v>680.5</v>
      </c>
      <c r="K15" s="13">
        <f t="shared" si="15"/>
        <v>801.75</v>
      </c>
      <c r="L15" s="13">
        <f t="shared" si="16"/>
        <v>773.7399999999999</v>
      </c>
      <c r="M15" s="13">
        <f t="shared" si="17"/>
        <v>1161</v>
      </c>
      <c r="N15" s="13">
        <f t="shared" si="5"/>
        <v>462</v>
      </c>
      <c r="O15" s="13">
        <f t="shared" si="2"/>
        <v>972</v>
      </c>
      <c r="P15" s="12">
        <f t="shared" si="3"/>
        <v>264</v>
      </c>
      <c r="Q15" s="12">
        <f t="shared" si="4"/>
        <v>330</v>
      </c>
      <c r="R15" s="13">
        <f t="shared" si="6"/>
        <v>1161</v>
      </c>
      <c r="S15" s="13">
        <f t="shared" si="7"/>
        <v>264</v>
      </c>
      <c r="T15" s="11">
        <f t="shared" si="8"/>
        <v>897</v>
      </c>
      <c r="U15" s="130"/>
      <c r="V15" s="131"/>
    </row>
    <row r="16" spans="1:24" x14ac:dyDescent="0.3">
      <c r="A16" s="142">
        <v>13</v>
      </c>
      <c r="B16" s="16">
        <f t="shared" si="9"/>
        <v>13</v>
      </c>
      <c r="C16" s="13">
        <f t="shared" si="10"/>
        <v>455</v>
      </c>
      <c r="D16" s="13">
        <f t="shared" si="0"/>
        <v>780</v>
      </c>
      <c r="E16" s="12">
        <f t="shared" si="18"/>
        <v>260</v>
      </c>
      <c r="F16" s="12">
        <f t="shared" si="1"/>
        <v>325</v>
      </c>
      <c r="G16" s="13">
        <f t="shared" si="11"/>
        <v>852.13</v>
      </c>
      <c r="H16" s="13">
        <f t="shared" si="12"/>
        <v>990.90000000000009</v>
      </c>
      <c r="I16" s="13">
        <f t="shared" si="13"/>
        <v>867</v>
      </c>
      <c r="J16" s="13">
        <f t="shared" si="14"/>
        <v>737</v>
      </c>
      <c r="K16" s="13">
        <f t="shared" si="15"/>
        <v>868.25</v>
      </c>
      <c r="L16" s="13">
        <f t="shared" si="16"/>
        <v>837.99999999999989</v>
      </c>
      <c r="M16" s="13">
        <f t="shared" si="17"/>
        <v>1257.5</v>
      </c>
      <c r="N16" s="13">
        <f t="shared" si="5"/>
        <v>500.5</v>
      </c>
      <c r="O16" s="13">
        <f t="shared" si="2"/>
        <v>1053</v>
      </c>
      <c r="P16" s="12">
        <f t="shared" si="3"/>
        <v>286</v>
      </c>
      <c r="Q16" s="12">
        <f t="shared" si="4"/>
        <v>357.5</v>
      </c>
      <c r="R16" s="13">
        <f t="shared" si="6"/>
        <v>1257.5</v>
      </c>
      <c r="S16" s="13">
        <f t="shared" si="7"/>
        <v>286</v>
      </c>
      <c r="T16" s="11">
        <f t="shared" si="8"/>
        <v>971.5</v>
      </c>
      <c r="U16" s="130"/>
      <c r="V16" s="131"/>
    </row>
    <row r="17" spans="1:22" x14ac:dyDescent="0.3">
      <c r="A17" s="142">
        <v>14</v>
      </c>
      <c r="B17" s="16">
        <f t="shared" si="9"/>
        <v>14</v>
      </c>
      <c r="C17" s="13">
        <f t="shared" si="10"/>
        <v>490</v>
      </c>
      <c r="D17" s="13">
        <f t="shared" si="0"/>
        <v>840</v>
      </c>
      <c r="E17" s="12">
        <f t="shared" si="18"/>
        <v>280</v>
      </c>
      <c r="F17" s="12">
        <f t="shared" si="1"/>
        <v>350</v>
      </c>
      <c r="G17" s="13">
        <f t="shared" si="11"/>
        <v>917.39</v>
      </c>
      <c r="H17" s="13">
        <f t="shared" si="12"/>
        <v>1067.02</v>
      </c>
      <c r="I17" s="13">
        <f t="shared" si="13"/>
        <v>933.5</v>
      </c>
      <c r="J17" s="13">
        <f t="shared" si="14"/>
        <v>793.5</v>
      </c>
      <c r="K17" s="13">
        <f t="shared" si="15"/>
        <v>934.75</v>
      </c>
      <c r="L17" s="13">
        <f t="shared" si="16"/>
        <v>902.25999999999988</v>
      </c>
      <c r="M17" s="13">
        <f t="shared" si="17"/>
        <v>1354</v>
      </c>
      <c r="N17" s="13">
        <f t="shared" si="5"/>
        <v>539</v>
      </c>
      <c r="O17" s="13">
        <f t="shared" si="2"/>
        <v>1134</v>
      </c>
      <c r="P17" s="12">
        <f t="shared" si="3"/>
        <v>308</v>
      </c>
      <c r="Q17" s="12">
        <f t="shared" si="4"/>
        <v>385</v>
      </c>
      <c r="R17" s="13">
        <f t="shared" si="6"/>
        <v>1354</v>
      </c>
      <c r="S17" s="13">
        <f t="shared" si="7"/>
        <v>308</v>
      </c>
      <c r="T17" s="11">
        <f t="shared" si="8"/>
        <v>1046</v>
      </c>
      <c r="U17" s="130"/>
      <c r="V17" s="131"/>
    </row>
    <row r="18" spans="1:22" x14ac:dyDescent="0.3">
      <c r="A18" s="142">
        <v>15</v>
      </c>
      <c r="B18" s="16">
        <f t="shared" si="9"/>
        <v>15</v>
      </c>
      <c r="C18" s="13">
        <f t="shared" si="10"/>
        <v>525</v>
      </c>
      <c r="D18" s="13">
        <f t="shared" si="0"/>
        <v>900</v>
      </c>
      <c r="E18" s="12">
        <f t="shared" si="18"/>
        <v>300</v>
      </c>
      <c r="F18" s="12">
        <f t="shared" si="1"/>
        <v>375</v>
      </c>
      <c r="G18" s="13">
        <f t="shared" si="11"/>
        <v>982.65</v>
      </c>
      <c r="H18" s="13">
        <f t="shared" si="12"/>
        <v>1143.1399999999999</v>
      </c>
      <c r="I18" s="13">
        <f t="shared" si="13"/>
        <v>1000</v>
      </c>
      <c r="J18" s="13">
        <f t="shared" si="14"/>
        <v>850</v>
      </c>
      <c r="K18" s="13">
        <f t="shared" si="15"/>
        <v>1001.25</v>
      </c>
      <c r="L18" s="13">
        <f t="shared" si="16"/>
        <v>966.51999999999987</v>
      </c>
      <c r="M18" s="13">
        <f t="shared" si="17"/>
        <v>1450.5</v>
      </c>
      <c r="N18" s="13">
        <f t="shared" si="5"/>
        <v>577.5</v>
      </c>
      <c r="O18" s="13">
        <f t="shared" si="2"/>
        <v>1215</v>
      </c>
      <c r="P18" s="12">
        <f t="shared" si="3"/>
        <v>330</v>
      </c>
      <c r="Q18" s="12">
        <f t="shared" si="4"/>
        <v>412.5</v>
      </c>
      <c r="R18" s="13">
        <f t="shared" si="6"/>
        <v>1450.5</v>
      </c>
      <c r="S18" s="13">
        <f t="shared" si="7"/>
        <v>330</v>
      </c>
      <c r="T18" s="11">
        <f t="shared" si="8"/>
        <v>1120.5</v>
      </c>
      <c r="U18" s="130"/>
      <c r="V18" s="131"/>
    </row>
    <row r="19" spans="1:22" x14ac:dyDescent="0.3">
      <c r="A19" s="142">
        <v>16</v>
      </c>
      <c r="B19" s="16">
        <f t="shared" si="9"/>
        <v>16</v>
      </c>
      <c r="C19" s="13">
        <f t="shared" si="10"/>
        <v>560</v>
      </c>
      <c r="D19" s="13">
        <f t="shared" si="0"/>
        <v>960</v>
      </c>
      <c r="E19" s="12">
        <f t="shared" si="18"/>
        <v>320</v>
      </c>
      <c r="F19" s="12">
        <f t="shared" si="1"/>
        <v>400</v>
      </c>
      <c r="G19" s="13">
        <f t="shared" si="11"/>
        <v>1047.9100000000001</v>
      </c>
      <c r="H19" s="13">
        <f t="shared" si="12"/>
        <v>1219.2599999999998</v>
      </c>
      <c r="I19" s="13">
        <f t="shared" si="13"/>
        <v>1066.5</v>
      </c>
      <c r="J19" s="13">
        <f t="shared" si="14"/>
        <v>906.5</v>
      </c>
      <c r="K19" s="13">
        <f t="shared" si="15"/>
        <v>1067.75</v>
      </c>
      <c r="L19" s="13">
        <f t="shared" si="16"/>
        <v>1030.78</v>
      </c>
      <c r="M19" s="13">
        <f t="shared" si="17"/>
        <v>1547</v>
      </c>
      <c r="N19" s="13">
        <f t="shared" si="5"/>
        <v>616</v>
      </c>
      <c r="O19" s="13">
        <f t="shared" si="2"/>
        <v>1296</v>
      </c>
      <c r="P19" s="12">
        <f t="shared" si="3"/>
        <v>352</v>
      </c>
      <c r="Q19" s="12">
        <f t="shared" si="4"/>
        <v>440</v>
      </c>
      <c r="R19" s="13">
        <f t="shared" si="6"/>
        <v>1547</v>
      </c>
      <c r="S19" s="13">
        <f t="shared" si="7"/>
        <v>352</v>
      </c>
      <c r="T19" s="11">
        <f t="shared" si="8"/>
        <v>1195</v>
      </c>
      <c r="U19" s="130"/>
      <c r="V19" s="131"/>
    </row>
    <row r="20" spans="1:22" x14ac:dyDescent="0.3">
      <c r="A20" s="142">
        <v>17</v>
      </c>
      <c r="B20" s="16">
        <f t="shared" si="9"/>
        <v>17</v>
      </c>
      <c r="C20" s="13">
        <f t="shared" si="10"/>
        <v>595</v>
      </c>
      <c r="D20" s="13">
        <f t="shared" si="0"/>
        <v>1020</v>
      </c>
      <c r="E20" s="12">
        <f t="shared" si="18"/>
        <v>340</v>
      </c>
      <c r="F20" s="12">
        <f t="shared" si="1"/>
        <v>425</v>
      </c>
      <c r="G20" s="13">
        <f t="shared" si="11"/>
        <v>1113.17</v>
      </c>
      <c r="H20" s="13">
        <f t="shared" si="12"/>
        <v>1295.3799999999997</v>
      </c>
      <c r="I20" s="13">
        <f t="shared" si="13"/>
        <v>1133</v>
      </c>
      <c r="J20" s="13">
        <f t="shared" si="14"/>
        <v>963</v>
      </c>
      <c r="K20" s="13">
        <f t="shared" si="15"/>
        <v>1134.25</v>
      </c>
      <c r="L20" s="13">
        <f t="shared" si="16"/>
        <v>1095.04</v>
      </c>
      <c r="M20" s="13">
        <f t="shared" si="17"/>
        <v>1643.5</v>
      </c>
      <c r="N20" s="13">
        <f t="shared" si="5"/>
        <v>654.5</v>
      </c>
      <c r="O20" s="13">
        <f t="shared" si="2"/>
        <v>1377</v>
      </c>
      <c r="P20" s="12">
        <f t="shared" si="3"/>
        <v>374</v>
      </c>
      <c r="Q20" s="12">
        <f t="shared" si="4"/>
        <v>467.5</v>
      </c>
      <c r="R20" s="13">
        <f t="shared" si="6"/>
        <v>1643.5</v>
      </c>
      <c r="S20" s="13">
        <f t="shared" si="7"/>
        <v>374</v>
      </c>
      <c r="T20" s="11">
        <f t="shared" si="8"/>
        <v>1269.5</v>
      </c>
      <c r="U20" s="130"/>
      <c r="V20" s="131"/>
    </row>
    <row r="21" spans="1:22" x14ac:dyDescent="0.3">
      <c r="A21" s="142">
        <v>18</v>
      </c>
      <c r="B21" s="16">
        <f t="shared" si="9"/>
        <v>18</v>
      </c>
      <c r="C21" s="13">
        <f t="shared" si="10"/>
        <v>630</v>
      </c>
      <c r="D21" s="13">
        <f t="shared" si="0"/>
        <v>1080</v>
      </c>
      <c r="E21" s="12">
        <f t="shared" si="18"/>
        <v>360</v>
      </c>
      <c r="F21" s="12">
        <f t="shared" si="1"/>
        <v>450</v>
      </c>
      <c r="G21" s="13">
        <f t="shared" si="11"/>
        <v>1178.43</v>
      </c>
      <c r="H21" s="13">
        <f t="shared" si="12"/>
        <v>1371.4999999999995</v>
      </c>
      <c r="I21" s="13">
        <f t="shared" si="13"/>
        <v>1199.5</v>
      </c>
      <c r="J21" s="13">
        <f t="shared" si="14"/>
        <v>1019.5</v>
      </c>
      <c r="K21" s="13">
        <f t="shared" si="15"/>
        <v>1200.75</v>
      </c>
      <c r="L21" s="13">
        <f t="shared" si="16"/>
        <v>1159.3</v>
      </c>
      <c r="M21" s="13">
        <f t="shared" si="17"/>
        <v>1740</v>
      </c>
      <c r="N21" s="13">
        <f t="shared" si="5"/>
        <v>693</v>
      </c>
      <c r="O21" s="13">
        <f t="shared" si="2"/>
        <v>1458</v>
      </c>
      <c r="P21" s="12">
        <f t="shared" si="3"/>
        <v>396</v>
      </c>
      <c r="Q21" s="12">
        <f t="shared" si="4"/>
        <v>495</v>
      </c>
      <c r="R21" s="13">
        <f t="shared" si="6"/>
        <v>1740</v>
      </c>
      <c r="S21" s="13">
        <f t="shared" si="7"/>
        <v>396</v>
      </c>
      <c r="T21" s="11">
        <f t="shared" si="8"/>
        <v>1344</v>
      </c>
      <c r="U21" s="130"/>
      <c r="V21" s="131"/>
    </row>
    <row r="22" spans="1:22" x14ac:dyDescent="0.3">
      <c r="A22" s="142">
        <v>19</v>
      </c>
      <c r="B22" s="16">
        <f t="shared" si="9"/>
        <v>19</v>
      </c>
      <c r="C22" s="13">
        <f t="shared" si="10"/>
        <v>665</v>
      </c>
      <c r="D22" s="13">
        <f t="shared" si="0"/>
        <v>1140</v>
      </c>
      <c r="E22" s="12">
        <f t="shared" si="18"/>
        <v>380</v>
      </c>
      <c r="F22" s="12">
        <f t="shared" si="1"/>
        <v>475</v>
      </c>
      <c r="G22" s="13">
        <f t="shared" si="11"/>
        <v>1243.69</v>
      </c>
      <c r="H22" s="13">
        <f t="shared" si="12"/>
        <v>1447.6199999999994</v>
      </c>
      <c r="I22" s="13">
        <f t="shared" si="13"/>
        <v>1266</v>
      </c>
      <c r="J22" s="13">
        <f t="shared" si="14"/>
        <v>1076</v>
      </c>
      <c r="K22" s="13">
        <f t="shared" si="15"/>
        <v>1267.25</v>
      </c>
      <c r="L22" s="13">
        <f t="shared" si="16"/>
        <v>1223.56</v>
      </c>
      <c r="M22" s="13">
        <f t="shared" si="17"/>
        <v>1836.5</v>
      </c>
      <c r="N22" s="13">
        <f t="shared" si="5"/>
        <v>731.5</v>
      </c>
      <c r="O22" s="13">
        <f t="shared" si="2"/>
        <v>1539</v>
      </c>
      <c r="P22" s="12">
        <f t="shared" si="3"/>
        <v>418</v>
      </c>
      <c r="Q22" s="12">
        <f t="shared" si="4"/>
        <v>522.5</v>
      </c>
      <c r="R22" s="13">
        <f t="shared" si="6"/>
        <v>1836.5</v>
      </c>
      <c r="S22" s="13">
        <f t="shared" si="7"/>
        <v>418</v>
      </c>
      <c r="T22" s="11">
        <f t="shared" si="8"/>
        <v>1418.5</v>
      </c>
      <c r="U22" s="130"/>
      <c r="V22" s="131"/>
    </row>
    <row r="23" spans="1:22" x14ac:dyDescent="0.3">
      <c r="A23" s="142">
        <v>20</v>
      </c>
      <c r="B23" s="16">
        <f t="shared" si="9"/>
        <v>20</v>
      </c>
      <c r="C23" s="13">
        <f t="shared" si="10"/>
        <v>700</v>
      </c>
      <c r="D23" s="13">
        <f t="shared" si="0"/>
        <v>1200</v>
      </c>
      <c r="E23" s="12">
        <f t="shared" si="18"/>
        <v>400</v>
      </c>
      <c r="F23" s="12">
        <f t="shared" si="1"/>
        <v>500</v>
      </c>
      <c r="G23" s="13">
        <f t="shared" si="11"/>
        <v>1308.95</v>
      </c>
      <c r="H23" s="13">
        <f t="shared" si="12"/>
        <v>1523.7399999999993</v>
      </c>
      <c r="I23" s="13">
        <f t="shared" si="13"/>
        <v>1332.5</v>
      </c>
      <c r="J23" s="13">
        <f t="shared" si="14"/>
        <v>1132.5</v>
      </c>
      <c r="K23" s="13">
        <f t="shared" si="15"/>
        <v>1333.75</v>
      </c>
      <c r="L23" s="13">
        <f t="shared" si="16"/>
        <v>1287.82</v>
      </c>
      <c r="M23" s="13">
        <f t="shared" si="17"/>
        <v>1933</v>
      </c>
      <c r="N23" s="13">
        <f t="shared" si="5"/>
        <v>770</v>
      </c>
      <c r="O23" s="13">
        <f t="shared" si="2"/>
        <v>1620</v>
      </c>
      <c r="P23" s="12">
        <f t="shared" si="3"/>
        <v>440</v>
      </c>
      <c r="Q23" s="12">
        <f t="shared" si="4"/>
        <v>550</v>
      </c>
      <c r="R23" s="13">
        <f t="shared" si="6"/>
        <v>1933</v>
      </c>
      <c r="S23" s="13">
        <f t="shared" si="7"/>
        <v>440</v>
      </c>
      <c r="T23" s="11">
        <f t="shared" si="8"/>
        <v>1493</v>
      </c>
      <c r="U23" s="130"/>
      <c r="V23" s="131"/>
    </row>
    <row r="24" spans="1:22" x14ac:dyDescent="0.3">
      <c r="A24" s="142">
        <v>21</v>
      </c>
      <c r="B24" s="16">
        <f t="shared" si="9"/>
        <v>21</v>
      </c>
      <c r="C24" s="13">
        <f t="shared" si="10"/>
        <v>735</v>
      </c>
      <c r="D24" s="13">
        <f t="shared" si="0"/>
        <v>1260</v>
      </c>
      <c r="E24" s="12">
        <f t="shared" si="18"/>
        <v>420</v>
      </c>
      <c r="F24" s="12">
        <f t="shared" si="1"/>
        <v>525</v>
      </c>
      <c r="G24" s="13">
        <f t="shared" si="11"/>
        <v>1374.21</v>
      </c>
      <c r="H24" s="13">
        <f t="shared" si="12"/>
        <v>1599.8599999999992</v>
      </c>
      <c r="I24" s="13">
        <f t="shared" si="13"/>
        <v>1399</v>
      </c>
      <c r="J24" s="13">
        <f t="shared" si="14"/>
        <v>1189</v>
      </c>
      <c r="K24" s="13">
        <f t="shared" si="15"/>
        <v>1400.25</v>
      </c>
      <c r="L24" s="13">
        <f t="shared" si="16"/>
        <v>1352.08</v>
      </c>
      <c r="M24" s="13">
        <f t="shared" si="17"/>
        <v>2029.5</v>
      </c>
      <c r="N24" s="13">
        <f t="shared" si="5"/>
        <v>808.5</v>
      </c>
      <c r="O24" s="13">
        <f t="shared" si="2"/>
        <v>1701</v>
      </c>
      <c r="P24" s="12">
        <f t="shared" si="3"/>
        <v>462</v>
      </c>
      <c r="Q24" s="12">
        <f t="shared" si="4"/>
        <v>577.5</v>
      </c>
      <c r="R24" s="13">
        <f t="shared" si="6"/>
        <v>2029.5</v>
      </c>
      <c r="S24" s="13">
        <f t="shared" si="7"/>
        <v>462</v>
      </c>
      <c r="T24" s="11">
        <f t="shared" si="8"/>
        <v>1567.5</v>
      </c>
      <c r="U24" s="130"/>
      <c r="V24" s="131"/>
    </row>
    <row r="25" spans="1:22" x14ac:dyDescent="0.3">
      <c r="A25" s="142">
        <v>22</v>
      </c>
      <c r="B25" s="16">
        <f t="shared" si="9"/>
        <v>22</v>
      </c>
      <c r="C25" s="13">
        <f t="shared" si="10"/>
        <v>770</v>
      </c>
      <c r="D25" s="13">
        <f t="shared" si="0"/>
        <v>1320</v>
      </c>
      <c r="E25" s="12">
        <f t="shared" si="18"/>
        <v>440</v>
      </c>
      <c r="F25" s="12">
        <f t="shared" si="1"/>
        <v>550</v>
      </c>
      <c r="G25" s="13">
        <f t="shared" si="11"/>
        <v>1439.47</v>
      </c>
      <c r="H25" s="13">
        <f t="shared" si="12"/>
        <v>1675.9799999999991</v>
      </c>
      <c r="I25" s="13">
        <f t="shared" si="13"/>
        <v>1465.5</v>
      </c>
      <c r="J25" s="13">
        <f t="shared" si="14"/>
        <v>1245.5</v>
      </c>
      <c r="K25" s="13">
        <f t="shared" si="15"/>
        <v>1466.75</v>
      </c>
      <c r="L25" s="13">
        <f t="shared" si="16"/>
        <v>1416.34</v>
      </c>
      <c r="M25" s="13">
        <f t="shared" si="17"/>
        <v>2126</v>
      </c>
      <c r="N25" s="13">
        <f t="shared" si="5"/>
        <v>847</v>
      </c>
      <c r="O25" s="13">
        <f t="shared" si="2"/>
        <v>1782</v>
      </c>
      <c r="P25" s="12">
        <f t="shared" si="3"/>
        <v>484</v>
      </c>
      <c r="Q25" s="12">
        <f t="shared" si="4"/>
        <v>605</v>
      </c>
      <c r="R25" s="13">
        <f t="shared" si="6"/>
        <v>2126</v>
      </c>
      <c r="S25" s="13">
        <f t="shared" si="7"/>
        <v>484</v>
      </c>
      <c r="T25" s="11">
        <f t="shared" si="8"/>
        <v>1642</v>
      </c>
      <c r="U25" s="130"/>
      <c r="V25" s="131"/>
    </row>
    <row r="26" spans="1:22" x14ac:dyDescent="0.3">
      <c r="A26" s="142">
        <v>23</v>
      </c>
      <c r="B26" s="16">
        <f t="shared" si="9"/>
        <v>23</v>
      </c>
      <c r="C26" s="13">
        <f t="shared" si="10"/>
        <v>805</v>
      </c>
      <c r="D26" s="13">
        <f t="shared" si="0"/>
        <v>1380</v>
      </c>
      <c r="E26" s="12">
        <f t="shared" si="18"/>
        <v>460</v>
      </c>
      <c r="F26" s="12">
        <f t="shared" si="1"/>
        <v>575</v>
      </c>
      <c r="G26" s="13">
        <f t="shared" si="11"/>
        <v>1504.73</v>
      </c>
      <c r="H26" s="13">
        <f t="shared" si="12"/>
        <v>1752.099999999999</v>
      </c>
      <c r="I26" s="13">
        <f t="shared" si="13"/>
        <v>1532</v>
      </c>
      <c r="J26" s="13">
        <f t="shared" si="14"/>
        <v>1302</v>
      </c>
      <c r="K26" s="13">
        <f t="shared" si="15"/>
        <v>1533.25</v>
      </c>
      <c r="L26" s="13">
        <f t="shared" si="16"/>
        <v>1480.6</v>
      </c>
      <c r="M26" s="13">
        <f t="shared" si="17"/>
        <v>2222.5</v>
      </c>
      <c r="N26" s="13">
        <f t="shared" si="5"/>
        <v>885.5</v>
      </c>
      <c r="O26" s="13">
        <f t="shared" si="2"/>
        <v>1863</v>
      </c>
      <c r="P26" s="12">
        <f t="shared" si="3"/>
        <v>506</v>
      </c>
      <c r="Q26" s="12">
        <f t="shared" si="4"/>
        <v>632.5</v>
      </c>
      <c r="R26" s="13">
        <f t="shared" si="6"/>
        <v>2222.5</v>
      </c>
      <c r="S26" s="13">
        <f t="shared" si="7"/>
        <v>506</v>
      </c>
      <c r="T26" s="11">
        <f t="shared" si="8"/>
        <v>1716.5</v>
      </c>
      <c r="U26" s="130"/>
      <c r="V26" s="131"/>
    </row>
    <row r="27" spans="1:22" x14ac:dyDescent="0.3">
      <c r="A27" s="142">
        <v>24</v>
      </c>
      <c r="B27" s="16">
        <f t="shared" si="9"/>
        <v>24</v>
      </c>
      <c r="C27" s="13">
        <f t="shared" si="10"/>
        <v>840</v>
      </c>
      <c r="D27" s="13">
        <f t="shared" si="0"/>
        <v>1440</v>
      </c>
      <c r="E27" s="12">
        <f t="shared" si="18"/>
        <v>480</v>
      </c>
      <c r="F27" s="12">
        <f t="shared" si="1"/>
        <v>600</v>
      </c>
      <c r="G27" s="13">
        <f t="shared" si="11"/>
        <v>1569.99</v>
      </c>
      <c r="H27" s="13">
        <f t="shared" si="12"/>
        <v>1828.2199999999989</v>
      </c>
      <c r="I27" s="13">
        <f t="shared" si="13"/>
        <v>1598.5</v>
      </c>
      <c r="J27" s="13">
        <f t="shared" si="14"/>
        <v>1358.5</v>
      </c>
      <c r="K27" s="13">
        <f t="shared" si="15"/>
        <v>1599.75</v>
      </c>
      <c r="L27" s="13">
        <f t="shared" si="16"/>
        <v>1544.86</v>
      </c>
      <c r="M27" s="13">
        <f t="shared" si="17"/>
        <v>2319</v>
      </c>
      <c r="N27" s="13">
        <f t="shared" si="5"/>
        <v>924</v>
      </c>
      <c r="O27" s="13">
        <f t="shared" si="2"/>
        <v>1944</v>
      </c>
      <c r="P27" s="12">
        <f t="shared" si="3"/>
        <v>528</v>
      </c>
      <c r="Q27" s="12">
        <f t="shared" si="4"/>
        <v>660</v>
      </c>
      <c r="R27" s="13">
        <f t="shared" si="6"/>
        <v>2319</v>
      </c>
      <c r="S27" s="13">
        <f t="shared" si="7"/>
        <v>528</v>
      </c>
      <c r="T27" s="11">
        <f t="shared" si="8"/>
        <v>1791</v>
      </c>
      <c r="U27" s="130"/>
      <c r="V27" s="131"/>
    </row>
    <row r="28" spans="1:22" x14ac:dyDescent="0.3">
      <c r="A28" s="142">
        <v>25</v>
      </c>
      <c r="B28" s="16">
        <f t="shared" si="9"/>
        <v>25</v>
      </c>
      <c r="C28" s="13">
        <f t="shared" si="10"/>
        <v>875</v>
      </c>
      <c r="D28" s="13">
        <f t="shared" si="0"/>
        <v>1500</v>
      </c>
      <c r="E28" s="12">
        <f t="shared" si="18"/>
        <v>500</v>
      </c>
      <c r="F28" s="12">
        <f t="shared" si="1"/>
        <v>625</v>
      </c>
      <c r="G28" s="13">
        <f t="shared" si="11"/>
        <v>1635.25</v>
      </c>
      <c r="H28" s="13">
        <f t="shared" si="12"/>
        <v>1904.3399999999988</v>
      </c>
      <c r="I28" s="13">
        <f t="shared" si="13"/>
        <v>1665</v>
      </c>
      <c r="J28" s="13">
        <f t="shared" si="14"/>
        <v>1415</v>
      </c>
      <c r="K28" s="13">
        <f t="shared" si="15"/>
        <v>1666.25</v>
      </c>
      <c r="L28" s="13">
        <f t="shared" si="16"/>
        <v>1609.12</v>
      </c>
      <c r="M28" s="13">
        <f t="shared" si="17"/>
        <v>2415.5</v>
      </c>
      <c r="N28" s="13">
        <f t="shared" si="5"/>
        <v>962.5</v>
      </c>
      <c r="O28" s="13">
        <f t="shared" si="2"/>
        <v>2025</v>
      </c>
      <c r="P28" s="12">
        <f t="shared" si="3"/>
        <v>550</v>
      </c>
      <c r="Q28" s="12">
        <f t="shared" si="4"/>
        <v>687.5</v>
      </c>
      <c r="R28" s="13">
        <f t="shared" si="6"/>
        <v>2415.5</v>
      </c>
      <c r="S28" s="13">
        <f t="shared" si="7"/>
        <v>550</v>
      </c>
      <c r="T28" s="11">
        <f t="shared" si="8"/>
        <v>1865.5</v>
      </c>
      <c r="U28" s="130"/>
      <c r="V28" s="131"/>
    </row>
    <row r="29" spans="1:22" x14ac:dyDescent="0.3">
      <c r="A29" s="142">
        <v>26</v>
      </c>
      <c r="B29" s="16">
        <f t="shared" si="9"/>
        <v>26</v>
      </c>
      <c r="C29" s="13">
        <f t="shared" si="10"/>
        <v>910</v>
      </c>
      <c r="D29" s="13">
        <f t="shared" si="0"/>
        <v>1560</v>
      </c>
      <c r="E29" s="12">
        <f t="shared" si="18"/>
        <v>520</v>
      </c>
      <c r="F29" s="12">
        <f t="shared" si="1"/>
        <v>650</v>
      </c>
      <c r="G29" s="13">
        <f t="shared" si="11"/>
        <v>1700.51</v>
      </c>
      <c r="H29" s="13">
        <f t="shared" si="12"/>
        <v>1980.4599999999987</v>
      </c>
      <c r="I29" s="13">
        <f t="shared" si="13"/>
        <v>1731.5</v>
      </c>
      <c r="J29" s="13">
        <f t="shared" si="14"/>
        <v>1471.5</v>
      </c>
      <c r="K29" s="13">
        <f t="shared" si="15"/>
        <v>1732.75</v>
      </c>
      <c r="L29" s="13">
        <f t="shared" si="16"/>
        <v>1673.3799999999999</v>
      </c>
      <c r="M29" s="13">
        <f t="shared" si="17"/>
        <v>2512</v>
      </c>
      <c r="N29" s="13">
        <f t="shared" si="5"/>
        <v>1001</v>
      </c>
      <c r="O29" s="13">
        <f t="shared" si="2"/>
        <v>2106</v>
      </c>
      <c r="P29" s="12">
        <f t="shared" si="3"/>
        <v>572</v>
      </c>
      <c r="Q29" s="12">
        <f t="shared" si="4"/>
        <v>715</v>
      </c>
      <c r="R29" s="13">
        <f t="shared" si="6"/>
        <v>2512</v>
      </c>
      <c r="S29" s="13">
        <f t="shared" si="7"/>
        <v>572</v>
      </c>
      <c r="T29" s="11">
        <f t="shared" si="8"/>
        <v>1940</v>
      </c>
      <c r="U29" s="130"/>
      <c r="V29" s="131"/>
    </row>
    <row r="30" spans="1:22" x14ac:dyDescent="0.3">
      <c r="A30" s="142">
        <v>27</v>
      </c>
      <c r="B30" s="16">
        <f t="shared" si="9"/>
        <v>27</v>
      </c>
      <c r="C30" s="13">
        <f t="shared" si="10"/>
        <v>945</v>
      </c>
      <c r="D30" s="13">
        <f t="shared" si="0"/>
        <v>1620</v>
      </c>
      <c r="E30" s="12">
        <f t="shared" si="18"/>
        <v>540</v>
      </c>
      <c r="F30" s="12">
        <f t="shared" si="1"/>
        <v>675</v>
      </c>
      <c r="G30" s="13">
        <f t="shared" si="11"/>
        <v>1765.77</v>
      </c>
      <c r="H30" s="13">
        <f t="shared" si="12"/>
        <v>2056.5799999999986</v>
      </c>
      <c r="I30" s="13">
        <f t="shared" si="13"/>
        <v>1798</v>
      </c>
      <c r="J30" s="13">
        <f t="shared" si="14"/>
        <v>1528</v>
      </c>
      <c r="K30" s="13">
        <f t="shared" si="15"/>
        <v>1799.25</v>
      </c>
      <c r="L30" s="13">
        <f t="shared" si="16"/>
        <v>1737.6399999999999</v>
      </c>
      <c r="M30" s="13">
        <f t="shared" si="17"/>
        <v>2608.5</v>
      </c>
      <c r="N30" s="13">
        <f t="shared" si="5"/>
        <v>1039.5</v>
      </c>
      <c r="O30" s="13">
        <f t="shared" si="2"/>
        <v>2187</v>
      </c>
      <c r="P30" s="12">
        <f t="shared" si="3"/>
        <v>594</v>
      </c>
      <c r="Q30" s="12">
        <f t="shared" si="4"/>
        <v>742.5</v>
      </c>
      <c r="R30" s="13">
        <f t="shared" si="6"/>
        <v>2608.5</v>
      </c>
      <c r="S30" s="13">
        <f t="shared" si="7"/>
        <v>594</v>
      </c>
      <c r="T30" s="11">
        <f t="shared" si="8"/>
        <v>2014.5</v>
      </c>
      <c r="U30" s="130"/>
      <c r="V30" s="131"/>
    </row>
    <row r="31" spans="1:22" x14ac:dyDescent="0.3">
      <c r="A31" s="142">
        <v>28</v>
      </c>
      <c r="B31" s="16">
        <f t="shared" si="9"/>
        <v>28</v>
      </c>
      <c r="C31" s="13">
        <f t="shared" si="10"/>
        <v>980</v>
      </c>
      <c r="D31" s="13">
        <f t="shared" si="0"/>
        <v>1680</v>
      </c>
      <c r="E31" s="12">
        <f t="shared" si="18"/>
        <v>560</v>
      </c>
      <c r="F31" s="12">
        <f t="shared" si="1"/>
        <v>700</v>
      </c>
      <c r="G31" s="13">
        <f t="shared" si="11"/>
        <v>1831.03</v>
      </c>
      <c r="H31" s="13">
        <f t="shared" si="12"/>
        <v>2132.6999999999985</v>
      </c>
      <c r="I31" s="13">
        <f t="shared" si="13"/>
        <v>1864.5</v>
      </c>
      <c r="J31" s="13">
        <f t="shared" si="14"/>
        <v>1584.5</v>
      </c>
      <c r="K31" s="13">
        <f t="shared" si="15"/>
        <v>1865.75</v>
      </c>
      <c r="L31" s="13">
        <f t="shared" si="16"/>
        <v>1801.8999999999999</v>
      </c>
      <c r="M31" s="13">
        <f t="shared" si="17"/>
        <v>2705</v>
      </c>
      <c r="N31" s="13">
        <f t="shared" si="5"/>
        <v>1078</v>
      </c>
      <c r="O31" s="13">
        <f t="shared" si="2"/>
        <v>2268</v>
      </c>
      <c r="P31" s="12">
        <f t="shared" si="3"/>
        <v>616</v>
      </c>
      <c r="Q31" s="12">
        <f t="shared" si="4"/>
        <v>770</v>
      </c>
      <c r="R31" s="13">
        <f t="shared" si="6"/>
        <v>2705</v>
      </c>
      <c r="S31" s="13">
        <f t="shared" si="7"/>
        <v>616</v>
      </c>
      <c r="T31" s="11">
        <f t="shared" si="8"/>
        <v>2089</v>
      </c>
      <c r="U31" s="130"/>
      <c r="V31" s="131"/>
    </row>
    <row r="32" spans="1:22" x14ac:dyDescent="0.3">
      <c r="A32" s="142">
        <v>29</v>
      </c>
      <c r="B32" s="16">
        <f t="shared" si="9"/>
        <v>29</v>
      </c>
      <c r="C32" s="13">
        <f t="shared" si="10"/>
        <v>1015</v>
      </c>
      <c r="D32" s="13">
        <f t="shared" si="0"/>
        <v>1740</v>
      </c>
      <c r="E32" s="12">
        <f t="shared" si="18"/>
        <v>580</v>
      </c>
      <c r="F32" s="12">
        <f t="shared" si="1"/>
        <v>725</v>
      </c>
      <c r="G32" s="13">
        <f t="shared" si="11"/>
        <v>1896.29</v>
      </c>
      <c r="H32" s="13">
        <f t="shared" si="12"/>
        <v>2208.8199999999983</v>
      </c>
      <c r="I32" s="13">
        <f t="shared" si="13"/>
        <v>1931</v>
      </c>
      <c r="J32" s="13">
        <f t="shared" si="14"/>
        <v>1641</v>
      </c>
      <c r="K32" s="13">
        <f t="shared" si="15"/>
        <v>1932.25</v>
      </c>
      <c r="L32" s="13">
        <f t="shared" si="16"/>
        <v>1866.1599999999999</v>
      </c>
      <c r="M32" s="13">
        <f t="shared" si="17"/>
        <v>2801.5</v>
      </c>
      <c r="N32" s="13">
        <f t="shared" si="5"/>
        <v>1116.5</v>
      </c>
      <c r="O32" s="13">
        <f t="shared" si="2"/>
        <v>2349</v>
      </c>
      <c r="P32" s="12">
        <f t="shared" si="3"/>
        <v>638</v>
      </c>
      <c r="Q32" s="12">
        <f t="shared" si="4"/>
        <v>797.5</v>
      </c>
      <c r="R32" s="13">
        <f t="shared" si="6"/>
        <v>2801.5</v>
      </c>
      <c r="S32" s="13">
        <f t="shared" si="7"/>
        <v>638</v>
      </c>
      <c r="T32" s="11">
        <f t="shared" si="8"/>
        <v>2163.5</v>
      </c>
      <c r="U32" s="130"/>
      <c r="V32" s="131"/>
    </row>
    <row r="33" spans="1:22" x14ac:dyDescent="0.3">
      <c r="A33" s="142">
        <v>30</v>
      </c>
      <c r="B33" s="16">
        <f t="shared" si="9"/>
        <v>30</v>
      </c>
      <c r="C33" s="13">
        <f t="shared" si="10"/>
        <v>1050</v>
      </c>
      <c r="D33" s="13">
        <f t="shared" si="0"/>
        <v>1800</v>
      </c>
      <c r="E33" s="12">
        <f t="shared" si="18"/>
        <v>600</v>
      </c>
      <c r="F33" s="12">
        <f t="shared" si="1"/>
        <v>750</v>
      </c>
      <c r="G33" s="13">
        <f t="shared" si="11"/>
        <v>1961.55</v>
      </c>
      <c r="H33" s="13">
        <f t="shared" si="12"/>
        <v>2284.9399999999982</v>
      </c>
      <c r="I33" s="13">
        <f t="shared" si="13"/>
        <v>1997.5</v>
      </c>
      <c r="J33" s="13">
        <f t="shared" si="14"/>
        <v>1697.5</v>
      </c>
      <c r="K33" s="13">
        <f t="shared" si="15"/>
        <v>1998.75</v>
      </c>
      <c r="L33" s="13">
        <f t="shared" si="16"/>
        <v>1930.4199999999998</v>
      </c>
      <c r="M33" s="13">
        <f t="shared" si="17"/>
        <v>2898</v>
      </c>
      <c r="N33" s="13">
        <f t="shared" si="5"/>
        <v>1155</v>
      </c>
      <c r="O33" s="13">
        <f t="shared" si="2"/>
        <v>2430</v>
      </c>
      <c r="P33" s="12">
        <f t="shared" si="3"/>
        <v>660</v>
      </c>
      <c r="Q33" s="12">
        <f t="shared" si="4"/>
        <v>825</v>
      </c>
      <c r="R33" s="13">
        <f t="shared" si="6"/>
        <v>2898</v>
      </c>
      <c r="S33" s="13">
        <f t="shared" si="7"/>
        <v>660</v>
      </c>
      <c r="T33" s="11">
        <f t="shared" si="8"/>
        <v>2238</v>
      </c>
      <c r="U33" s="130"/>
      <c r="V33" s="131"/>
    </row>
    <row r="34" spans="1:22" x14ac:dyDescent="0.3">
      <c r="A34" s="142">
        <v>31</v>
      </c>
      <c r="B34" s="16">
        <f t="shared" si="9"/>
        <v>31</v>
      </c>
      <c r="C34" s="13">
        <f t="shared" si="10"/>
        <v>1085</v>
      </c>
      <c r="D34" s="13">
        <f t="shared" si="0"/>
        <v>1860</v>
      </c>
      <c r="E34" s="12">
        <f t="shared" si="18"/>
        <v>620</v>
      </c>
      <c r="F34" s="12">
        <f t="shared" si="1"/>
        <v>775</v>
      </c>
      <c r="G34" s="13">
        <f t="shared" si="11"/>
        <v>2026.81</v>
      </c>
      <c r="H34" s="13">
        <f t="shared" si="12"/>
        <v>2361.0599999999981</v>
      </c>
      <c r="I34" s="13">
        <f t="shared" si="13"/>
        <v>2064</v>
      </c>
      <c r="J34" s="13">
        <f t="shared" si="14"/>
        <v>1754</v>
      </c>
      <c r="K34" s="13">
        <f t="shared" si="15"/>
        <v>2065.25</v>
      </c>
      <c r="L34" s="13">
        <f t="shared" si="16"/>
        <v>1994.6799999999998</v>
      </c>
      <c r="M34" s="13">
        <f t="shared" si="17"/>
        <v>2994.5</v>
      </c>
      <c r="N34" s="13">
        <f t="shared" si="5"/>
        <v>1193.5</v>
      </c>
      <c r="O34" s="13">
        <f t="shared" si="2"/>
        <v>2511</v>
      </c>
      <c r="P34" s="12">
        <f t="shared" si="3"/>
        <v>682</v>
      </c>
      <c r="Q34" s="12">
        <f t="shared" si="4"/>
        <v>852.5</v>
      </c>
      <c r="R34" s="13">
        <f t="shared" si="6"/>
        <v>2994.5</v>
      </c>
      <c r="S34" s="13">
        <f t="shared" si="7"/>
        <v>682</v>
      </c>
      <c r="T34" s="11">
        <f t="shared" si="8"/>
        <v>2312.5</v>
      </c>
      <c r="U34" s="130"/>
      <c r="V34" s="131"/>
    </row>
    <row r="35" spans="1:22" x14ac:dyDescent="0.3">
      <c r="A35" s="142">
        <v>32</v>
      </c>
      <c r="B35" s="16">
        <f t="shared" si="9"/>
        <v>32</v>
      </c>
      <c r="C35" s="13">
        <f t="shared" si="10"/>
        <v>1120</v>
      </c>
      <c r="D35" s="13">
        <f t="shared" si="0"/>
        <v>1920</v>
      </c>
      <c r="E35" s="12">
        <f t="shared" si="18"/>
        <v>640</v>
      </c>
      <c r="F35" s="12">
        <f t="shared" si="1"/>
        <v>800</v>
      </c>
      <c r="G35" s="13">
        <f t="shared" si="11"/>
        <v>2092.0700000000002</v>
      </c>
      <c r="H35" s="13">
        <f t="shared" si="12"/>
        <v>2437.179999999998</v>
      </c>
      <c r="I35" s="13">
        <f t="shared" si="13"/>
        <v>2130.5</v>
      </c>
      <c r="J35" s="13">
        <f t="shared" si="14"/>
        <v>1810.5</v>
      </c>
      <c r="K35" s="13">
        <f t="shared" si="15"/>
        <v>2131.75</v>
      </c>
      <c r="L35" s="13">
        <f t="shared" si="16"/>
        <v>2058.94</v>
      </c>
      <c r="M35" s="13">
        <f t="shared" si="17"/>
        <v>3091</v>
      </c>
      <c r="N35" s="13">
        <f t="shared" si="5"/>
        <v>1232</v>
      </c>
      <c r="O35" s="13">
        <f t="shared" si="2"/>
        <v>2592</v>
      </c>
      <c r="P35" s="12">
        <f t="shared" si="3"/>
        <v>704</v>
      </c>
      <c r="Q35" s="12">
        <f t="shared" si="4"/>
        <v>880</v>
      </c>
      <c r="R35" s="13">
        <f t="shared" si="6"/>
        <v>3091</v>
      </c>
      <c r="S35" s="13">
        <f t="shared" si="7"/>
        <v>704</v>
      </c>
      <c r="T35" s="11">
        <f t="shared" si="8"/>
        <v>2387</v>
      </c>
      <c r="U35" s="130"/>
      <c r="V35" s="131"/>
    </row>
    <row r="36" spans="1:22" x14ac:dyDescent="0.3">
      <c r="A36" s="142">
        <v>33</v>
      </c>
      <c r="B36" s="16">
        <f t="shared" si="9"/>
        <v>33</v>
      </c>
      <c r="C36" s="13">
        <f t="shared" si="10"/>
        <v>1155</v>
      </c>
      <c r="D36" s="13">
        <f t="shared" ref="D36:D53" si="19">B36*$D$3</f>
        <v>1980</v>
      </c>
      <c r="E36" s="12">
        <f t="shared" ref="E36:E53" si="20">B36*$E$3</f>
        <v>660</v>
      </c>
      <c r="F36" s="12">
        <f t="shared" ref="F36:F53" si="21">B36*$F$3</f>
        <v>825</v>
      </c>
      <c r="G36" s="13">
        <f t="shared" si="11"/>
        <v>2157.3300000000004</v>
      </c>
      <c r="H36" s="13">
        <f t="shared" si="12"/>
        <v>2513.2999999999979</v>
      </c>
      <c r="I36" s="13">
        <f t="shared" si="13"/>
        <v>2197</v>
      </c>
      <c r="J36" s="13">
        <f t="shared" si="14"/>
        <v>1867</v>
      </c>
      <c r="K36" s="13">
        <f t="shared" si="15"/>
        <v>2198.25</v>
      </c>
      <c r="L36" s="13">
        <f t="shared" si="16"/>
        <v>2123.2000000000003</v>
      </c>
      <c r="M36" s="13">
        <f t="shared" si="17"/>
        <v>3187.5</v>
      </c>
      <c r="N36" s="13">
        <f t="shared" si="5"/>
        <v>1270.5</v>
      </c>
      <c r="O36" s="13">
        <f t="shared" ref="O36:O53" si="22">D36 + $O$3*D36</f>
        <v>2673</v>
      </c>
      <c r="P36" s="12">
        <f t="shared" ref="P36:P53" si="23">E36 + $P$3*E36</f>
        <v>726</v>
      </c>
      <c r="Q36" s="12">
        <f t="shared" ref="Q36:Q53" si="24">F36 + $Q$3*F36</f>
        <v>907.5</v>
      </c>
      <c r="R36" s="13">
        <f t="shared" si="6"/>
        <v>3187.5</v>
      </c>
      <c r="S36" s="13">
        <f t="shared" si="7"/>
        <v>726</v>
      </c>
      <c r="T36" s="11">
        <f t="shared" si="8"/>
        <v>2461.5</v>
      </c>
      <c r="U36" s="130"/>
      <c r="V36" s="131"/>
    </row>
    <row r="37" spans="1:22" x14ac:dyDescent="0.3">
      <c r="A37" s="142">
        <v>34</v>
      </c>
      <c r="B37" s="16">
        <f t="shared" si="9"/>
        <v>34</v>
      </c>
      <c r="C37" s="13">
        <f t="shared" si="10"/>
        <v>1190</v>
      </c>
      <c r="D37" s="13">
        <f t="shared" si="19"/>
        <v>2040</v>
      </c>
      <c r="E37" s="12">
        <f t="shared" si="20"/>
        <v>680</v>
      </c>
      <c r="F37" s="12">
        <f t="shared" si="21"/>
        <v>850</v>
      </c>
      <c r="G37" s="13">
        <f t="shared" si="11"/>
        <v>2222.5900000000006</v>
      </c>
      <c r="H37" s="13">
        <f t="shared" si="12"/>
        <v>2589.4199999999978</v>
      </c>
      <c r="I37" s="13">
        <f t="shared" si="13"/>
        <v>2263.5</v>
      </c>
      <c r="J37" s="13">
        <f t="shared" si="14"/>
        <v>1923.5</v>
      </c>
      <c r="K37" s="13">
        <f t="shared" si="15"/>
        <v>2264.75</v>
      </c>
      <c r="L37" s="13">
        <f t="shared" si="16"/>
        <v>2187.4600000000005</v>
      </c>
      <c r="M37" s="13">
        <f t="shared" si="17"/>
        <v>3284</v>
      </c>
      <c r="N37" s="13">
        <f t="shared" si="5"/>
        <v>1309</v>
      </c>
      <c r="O37" s="13">
        <f t="shared" si="22"/>
        <v>2754</v>
      </c>
      <c r="P37" s="12">
        <f t="shared" si="23"/>
        <v>748</v>
      </c>
      <c r="Q37" s="12">
        <f t="shared" si="24"/>
        <v>935</v>
      </c>
      <c r="R37" s="13">
        <f t="shared" ref="R37:R53" si="25">MAX(N37, O37, G37:Q37)</f>
        <v>3284</v>
      </c>
      <c r="S37" s="13">
        <f t="shared" ref="S37:S53" si="26">MIN(N37, O37, G37:Q37)</f>
        <v>748</v>
      </c>
      <c r="T37" s="11">
        <f t="shared" si="8"/>
        <v>2536</v>
      </c>
      <c r="U37" s="130"/>
      <c r="V37" s="131"/>
    </row>
    <row r="38" spans="1:22" x14ac:dyDescent="0.3">
      <c r="A38" s="142">
        <v>35</v>
      </c>
      <c r="B38" s="16">
        <f t="shared" si="9"/>
        <v>35</v>
      </c>
      <c r="C38" s="13">
        <f t="shared" si="10"/>
        <v>1225</v>
      </c>
      <c r="D38" s="13">
        <f t="shared" si="19"/>
        <v>2100</v>
      </c>
      <c r="E38" s="12">
        <f t="shared" si="20"/>
        <v>700</v>
      </c>
      <c r="F38" s="12">
        <f t="shared" si="21"/>
        <v>875</v>
      </c>
      <c r="G38" s="13">
        <f t="shared" si="11"/>
        <v>2287.8500000000008</v>
      </c>
      <c r="H38" s="13">
        <f t="shared" si="12"/>
        <v>2665.5399999999977</v>
      </c>
      <c r="I38" s="13">
        <f t="shared" si="13"/>
        <v>2330</v>
      </c>
      <c r="J38" s="13">
        <f t="shared" si="14"/>
        <v>1980</v>
      </c>
      <c r="K38" s="13">
        <f t="shared" si="15"/>
        <v>2331.25</v>
      </c>
      <c r="L38" s="13">
        <f t="shared" si="16"/>
        <v>2251.7200000000007</v>
      </c>
      <c r="M38" s="13">
        <f t="shared" si="17"/>
        <v>3380.5</v>
      </c>
      <c r="N38" s="13">
        <f t="shared" si="5"/>
        <v>1347.5</v>
      </c>
      <c r="O38" s="13">
        <f t="shared" si="22"/>
        <v>2835</v>
      </c>
      <c r="P38" s="12">
        <f t="shared" si="23"/>
        <v>770</v>
      </c>
      <c r="Q38" s="12">
        <f t="shared" si="24"/>
        <v>962.5</v>
      </c>
      <c r="R38" s="13">
        <f t="shared" si="25"/>
        <v>3380.5</v>
      </c>
      <c r="S38" s="13">
        <f t="shared" si="26"/>
        <v>770</v>
      </c>
      <c r="T38" s="11">
        <f t="shared" si="8"/>
        <v>2610.5</v>
      </c>
      <c r="U38" s="130"/>
      <c r="V38" s="131"/>
    </row>
    <row r="39" spans="1:22" x14ac:dyDescent="0.3">
      <c r="A39" s="142">
        <v>36</v>
      </c>
      <c r="B39" s="16">
        <f t="shared" si="9"/>
        <v>36</v>
      </c>
      <c r="C39" s="13">
        <f t="shared" si="10"/>
        <v>1260</v>
      </c>
      <c r="D39" s="13">
        <f t="shared" si="19"/>
        <v>2160</v>
      </c>
      <c r="E39" s="12">
        <f t="shared" si="20"/>
        <v>720</v>
      </c>
      <c r="F39" s="12">
        <f t="shared" si="21"/>
        <v>900</v>
      </c>
      <c r="G39" s="13">
        <f t="shared" si="11"/>
        <v>2353.110000000001</v>
      </c>
      <c r="H39" s="13">
        <f t="shared" si="12"/>
        <v>2741.6599999999976</v>
      </c>
      <c r="I39" s="13">
        <f t="shared" si="13"/>
        <v>2396.5</v>
      </c>
      <c r="J39" s="13">
        <f t="shared" si="14"/>
        <v>2036.5</v>
      </c>
      <c r="K39" s="13">
        <f t="shared" si="15"/>
        <v>2397.75</v>
      </c>
      <c r="L39" s="13">
        <f t="shared" si="16"/>
        <v>2315.9800000000009</v>
      </c>
      <c r="M39" s="13">
        <f t="shared" si="17"/>
        <v>3477</v>
      </c>
      <c r="N39" s="13">
        <f t="shared" si="5"/>
        <v>1386</v>
      </c>
      <c r="O39" s="13">
        <f t="shared" si="22"/>
        <v>2916</v>
      </c>
      <c r="P39" s="12">
        <f t="shared" si="23"/>
        <v>792</v>
      </c>
      <c r="Q39" s="12">
        <f t="shared" si="24"/>
        <v>990</v>
      </c>
      <c r="R39" s="13">
        <f t="shared" si="25"/>
        <v>3477</v>
      </c>
      <c r="S39" s="13">
        <f t="shared" si="26"/>
        <v>792</v>
      </c>
      <c r="T39" s="11">
        <f t="shared" si="8"/>
        <v>2685</v>
      </c>
      <c r="U39" s="130"/>
      <c r="V39" s="131"/>
    </row>
    <row r="40" spans="1:22" x14ac:dyDescent="0.3">
      <c r="A40" s="142">
        <v>37</v>
      </c>
      <c r="B40" s="16">
        <f t="shared" si="9"/>
        <v>37</v>
      </c>
      <c r="C40" s="13">
        <f t="shared" si="10"/>
        <v>1295</v>
      </c>
      <c r="D40" s="13">
        <f t="shared" si="19"/>
        <v>2220</v>
      </c>
      <c r="E40" s="12">
        <f t="shared" si="20"/>
        <v>740</v>
      </c>
      <c r="F40" s="12">
        <f t="shared" si="21"/>
        <v>925</v>
      </c>
      <c r="G40" s="13">
        <f t="shared" si="11"/>
        <v>2418.3700000000013</v>
      </c>
      <c r="H40" s="13">
        <f t="shared" si="12"/>
        <v>2817.7799999999975</v>
      </c>
      <c r="I40" s="13">
        <f t="shared" si="13"/>
        <v>2463</v>
      </c>
      <c r="J40" s="13">
        <f t="shared" si="14"/>
        <v>2093</v>
      </c>
      <c r="K40" s="13">
        <f t="shared" si="15"/>
        <v>2464.25</v>
      </c>
      <c r="L40" s="13">
        <f t="shared" si="16"/>
        <v>2380.2400000000011</v>
      </c>
      <c r="M40" s="13">
        <f t="shared" si="17"/>
        <v>3573.5</v>
      </c>
      <c r="N40" s="13">
        <f t="shared" si="5"/>
        <v>1424.5</v>
      </c>
      <c r="O40" s="13">
        <f t="shared" si="22"/>
        <v>2997</v>
      </c>
      <c r="P40" s="12">
        <f t="shared" si="23"/>
        <v>814</v>
      </c>
      <c r="Q40" s="12">
        <f t="shared" si="24"/>
        <v>1017.5</v>
      </c>
      <c r="R40" s="13">
        <f t="shared" si="25"/>
        <v>3573.5</v>
      </c>
      <c r="S40" s="13">
        <f t="shared" si="26"/>
        <v>814</v>
      </c>
      <c r="T40" s="11">
        <f t="shared" si="8"/>
        <v>2759.5</v>
      </c>
      <c r="U40" s="130"/>
      <c r="V40" s="131"/>
    </row>
    <row r="41" spans="1:22" x14ac:dyDescent="0.3">
      <c r="A41" s="142">
        <v>38</v>
      </c>
      <c r="B41" s="16">
        <f t="shared" si="9"/>
        <v>38</v>
      </c>
      <c r="C41" s="13">
        <f t="shared" si="10"/>
        <v>1330</v>
      </c>
      <c r="D41" s="13">
        <f t="shared" si="19"/>
        <v>2280</v>
      </c>
      <c r="E41" s="12">
        <f t="shared" si="20"/>
        <v>760</v>
      </c>
      <c r="F41" s="12">
        <f t="shared" si="21"/>
        <v>950</v>
      </c>
      <c r="G41" s="13">
        <f t="shared" si="11"/>
        <v>2483.6300000000015</v>
      </c>
      <c r="H41" s="13">
        <f t="shared" si="12"/>
        <v>2893.8999999999974</v>
      </c>
      <c r="I41" s="13">
        <f t="shared" si="13"/>
        <v>2529.5</v>
      </c>
      <c r="J41" s="13">
        <f t="shared" si="14"/>
        <v>2149.5</v>
      </c>
      <c r="K41" s="13">
        <f t="shared" si="15"/>
        <v>2530.75</v>
      </c>
      <c r="L41" s="13">
        <f t="shared" si="16"/>
        <v>2444.5000000000014</v>
      </c>
      <c r="M41" s="13">
        <f t="shared" si="17"/>
        <v>3670</v>
      </c>
      <c r="N41" s="13">
        <f t="shared" si="5"/>
        <v>1463</v>
      </c>
      <c r="O41" s="13">
        <f t="shared" si="22"/>
        <v>3078</v>
      </c>
      <c r="P41" s="12">
        <f t="shared" si="23"/>
        <v>836</v>
      </c>
      <c r="Q41" s="12">
        <f t="shared" si="24"/>
        <v>1045</v>
      </c>
      <c r="R41" s="13">
        <f t="shared" si="25"/>
        <v>3670</v>
      </c>
      <c r="S41" s="13">
        <f t="shared" si="26"/>
        <v>836</v>
      </c>
      <c r="T41" s="11">
        <f t="shared" si="8"/>
        <v>2834</v>
      </c>
      <c r="U41" s="130"/>
      <c r="V41" s="131"/>
    </row>
    <row r="42" spans="1:22" x14ac:dyDescent="0.3">
      <c r="A42" s="142">
        <v>39</v>
      </c>
      <c r="B42" s="16">
        <f t="shared" si="9"/>
        <v>39</v>
      </c>
      <c r="C42" s="13">
        <f t="shared" si="10"/>
        <v>1365</v>
      </c>
      <c r="D42" s="13">
        <f t="shared" si="19"/>
        <v>2340</v>
      </c>
      <c r="E42" s="12">
        <f t="shared" si="20"/>
        <v>780</v>
      </c>
      <c r="F42" s="12">
        <f t="shared" si="21"/>
        <v>975</v>
      </c>
      <c r="G42" s="13">
        <f t="shared" si="11"/>
        <v>2548.8900000000017</v>
      </c>
      <c r="H42" s="13">
        <f t="shared" si="12"/>
        <v>2970.0199999999973</v>
      </c>
      <c r="I42" s="13">
        <f t="shared" si="13"/>
        <v>2596</v>
      </c>
      <c r="J42" s="13">
        <f t="shared" si="14"/>
        <v>2206</v>
      </c>
      <c r="K42" s="13">
        <f t="shared" si="15"/>
        <v>2597.25</v>
      </c>
      <c r="L42" s="13">
        <f t="shared" si="16"/>
        <v>2508.7600000000016</v>
      </c>
      <c r="M42" s="13">
        <f t="shared" si="17"/>
        <v>3766.5</v>
      </c>
      <c r="N42" s="13">
        <f t="shared" si="5"/>
        <v>1501.5</v>
      </c>
      <c r="O42" s="13">
        <f t="shared" si="22"/>
        <v>3159</v>
      </c>
      <c r="P42" s="12">
        <f t="shared" si="23"/>
        <v>858</v>
      </c>
      <c r="Q42" s="12">
        <f t="shared" si="24"/>
        <v>1072.5</v>
      </c>
      <c r="R42" s="13">
        <f t="shared" si="25"/>
        <v>3766.5</v>
      </c>
      <c r="S42" s="13">
        <f t="shared" si="26"/>
        <v>858</v>
      </c>
      <c r="T42" s="11">
        <f t="shared" si="8"/>
        <v>2908.5</v>
      </c>
      <c r="U42" s="130"/>
      <c r="V42" s="131"/>
    </row>
    <row r="43" spans="1:22" x14ac:dyDescent="0.3">
      <c r="A43" s="142">
        <v>40</v>
      </c>
      <c r="B43" s="16">
        <f t="shared" si="9"/>
        <v>40</v>
      </c>
      <c r="C43" s="13">
        <f t="shared" si="10"/>
        <v>1400</v>
      </c>
      <c r="D43" s="13">
        <f t="shared" si="19"/>
        <v>2400</v>
      </c>
      <c r="E43" s="12">
        <f t="shared" si="20"/>
        <v>800</v>
      </c>
      <c r="F43" s="12">
        <f t="shared" si="21"/>
        <v>1000</v>
      </c>
      <c r="G43" s="13">
        <f t="shared" si="11"/>
        <v>2614.1500000000019</v>
      </c>
      <c r="H43" s="13">
        <f t="shared" si="12"/>
        <v>3046.1399999999971</v>
      </c>
      <c r="I43" s="13">
        <f t="shared" si="13"/>
        <v>2662.5</v>
      </c>
      <c r="J43" s="13">
        <f t="shared" si="14"/>
        <v>2262.5</v>
      </c>
      <c r="K43" s="13">
        <f t="shared" si="15"/>
        <v>2663.75</v>
      </c>
      <c r="L43" s="13">
        <f t="shared" si="16"/>
        <v>2573.0200000000018</v>
      </c>
      <c r="M43" s="13">
        <f t="shared" si="17"/>
        <v>3863</v>
      </c>
      <c r="N43" s="13">
        <f t="shared" si="5"/>
        <v>1540</v>
      </c>
      <c r="O43" s="13">
        <f t="shared" si="22"/>
        <v>3240</v>
      </c>
      <c r="P43" s="12">
        <f t="shared" si="23"/>
        <v>880</v>
      </c>
      <c r="Q43" s="12">
        <f t="shared" si="24"/>
        <v>1100</v>
      </c>
      <c r="R43" s="13">
        <f t="shared" si="25"/>
        <v>3863</v>
      </c>
      <c r="S43" s="13">
        <f t="shared" si="26"/>
        <v>880</v>
      </c>
      <c r="T43" s="11">
        <f t="shared" si="8"/>
        <v>2983</v>
      </c>
      <c r="U43" s="130"/>
      <c r="V43" s="131"/>
    </row>
    <row r="44" spans="1:22" x14ac:dyDescent="0.3">
      <c r="A44" s="142">
        <v>41</v>
      </c>
      <c r="B44" s="16">
        <f t="shared" si="9"/>
        <v>41</v>
      </c>
      <c r="C44" s="13">
        <f t="shared" si="10"/>
        <v>1435</v>
      </c>
      <c r="D44" s="13">
        <f t="shared" si="19"/>
        <v>2460</v>
      </c>
      <c r="E44" s="12">
        <f t="shared" si="20"/>
        <v>820</v>
      </c>
      <c r="F44" s="12">
        <f t="shared" si="21"/>
        <v>1025</v>
      </c>
      <c r="G44" s="13">
        <f t="shared" si="11"/>
        <v>2679.4100000000021</v>
      </c>
      <c r="H44" s="13">
        <f t="shared" si="12"/>
        <v>3122.259999999997</v>
      </c>
      <c r="I44" s="13">
        <f t="shared" si="13"/>
        <v>2729</v>
      </c>
      <c r="J44" s="13">
        <f t="shared" si="14"/>
        <v>2319</v>
      </c>
      <c r="K44" s="13">
        <f t="shared" si="15"/>
        <v>2730.25</v>
      </c>
      <c r="L44" s="13">
        <f t="shared" si="16"/>
        <v>2637.280000000002</v>
      </c>
      <c r="M44" s="13">
        <f t="shared" si="17"/>
        <v>3959.5</v>
      </c>
      <c r="N44" s="13">
        <f t="shared" si="5"/>
        <v>1578.5</v>
      </c>
      <c r="O44" s="13">
        <f t="shared" si="22"/>
        <v>3321</v>
      </c>
      <c r="P44" s="12">
        <f t="shared" si="23"/>
        <v>902</v>
      </c>
      <c r="Q44" s="12">
        <f t="shared" si="24"/>
        <v>1127.5</v>
      </c>
      <c r="R44" s="13">
        <f t="shared" si="25"/>
        <v>3959.5</v>
      </c>
      <c r="S44" s="13">
        <f t="shared" si="26"/>
        <v>902</v>
      </c>
      <c r="T44" s="11">
        <f t="shared" si="8"/>
        <v>3057.5</v>
      </c>
      <c r="U44" s="130"/>
      <c r="V44" s="131"/>
    </row>
    <row r="45" spans="1:22" x14ac:dyDescent="0.3">
      <c r="A45" s="142">
        <v>42</v>
      </c>
      <c r="B45" s="16">
        <f t="shared" si="9"/>
        <v>42</v>
      </c>
      <c r="C45" s="13">
        <f t="shared" si="10"/>
        <v>1470</v>
      </c>
      <c r="D45" s="13">
        <f t="shared" si="19"/>
        <v>2520</v>
      </c>
      <c r="E45" s="12">
        <f t="shared" si="20"/>
        <v>840</v>
      </c>
      <c r="F45" s="12">
        <f t="shared" si="21"/>
        <v>1050</v>
      </c>
      <c r="G45" s="13">
        <f t="shared" si="11"/>
        <v>2744.6700000000023</v>
      </c>
      <c r="H45" s="13">
        <f t="shared" si="12"/>
        <v>3198.3799999999969</v>
      </c>
      <c r="I45" s="13">
        <f t="shared" si="13"/>
        <v>2795.5</v>
      </c>
      <c r="J45" s="13">
        <f t="shared" si="14"/>
        <v>2375.5</v>
      </c>
      <c r="K45" s="13">
        <f t="shared" si="15"/>
        <v>2796.75</v>
      </c>
      <c r="L45" s="13">
        <f t="shared" si="16"/>
        <v>2701.5400000000022</v>
      </c>
      <c r="M45" s="13">
        <f t="shared" si="17"/>
        <v>4056</v>
      </c>
      <c r="N45" s="13">
        <f t="shared" si="5"/>
        <v>1617</v>
      </c>
      <c r="O45" s="13">
        <f t="shared" si="22"/>
        <v>3402</v>
      </c>
      <c r="P45" s="12">
        <f t="shared" si="23"/>
        <v>924</v>
      </c>
      <c r="Q45" s="12">
        <f t="shared" si="24"/>
        <v>1155</v>
      </c>
      <c r="R45" s="13">
        <f t="shared" si="25"/>
        <v>4056</v>
      </c>
      <c r="S45" s="13">
        <f t="shared" si="26"/>
        <v>924</v>
      </c>
      <c r="T45" s="11">
        <f t="shared" si="8"/>
        <v>3132</v>
      </c>
      <c r="U45" s="130"/>
      <c r="V45" s="131"/>
    </row>
    <row r="46" spans="1:22" x14ac:dyDescent="0.3">
      <c r="A46" s="142">
        <v>43</v>
      </c>
      <c r="B46" s="16">
        <f t="shared" si="9"/>
        <v>43</v>
      </c>
      <c r="C46" s="13">
        <f t="shared" si="10"/>
        <v>1505</v>
      </c>
      <c r="D46" s="13">
        <f t="shared" si="19"/>
        <v>2580</v>
      </c>
      <c r="E46" s="12">
        <f t="shared" si="20"/>
        <v>860</v>
      </c>
      <c r="F46" s="12">
        <f t="shared" si="21"/>
        <v>1075</v>
      </c>
      <c r="G46" s="13">
        <f t="shared" si="11"/>
        <v>2809.9300000000026</v>
      </c>
      <c r="H46" s="13">
        <f t="shared" si="12"/>
        <v>3274.4999999999968</v>
      </c>
      <c r="I46" s="13">
        <f t="shared" si="13"/>
        <v>2862</v>
      </c>
      <c r="J46" s="13">
        <f t="shared" si="14"/>
        <v>2432</v>
      </c>
      <c r="K46" s="13">
        <f t="shared" si="15"/>
        <v>2863.25</v>
      </c>
      <c r="L46" s="13">
        <f t="shared" si="16"/>
        <v>2765.8000000000025</v>
      </c>
      <c r="M46" s="13">
        <f t="shared" si="17"/>
        <v>4152.5</v>
      </c>
      <c r="N46" s="13">
        <f t="shared" si="5"/>
        <v>1655.5</v>
      </c>
      <c r="O46" s="13">
        <f t="shared" si="22"/>
        <v>3483</v>
      </c>
      <c r="P46" s="12">
        <f t="shared" si="23"/>
        <v>946</v>
      </c>
      <c r="Q46" s="12">
        <f t="shared" si="24"/>
        <v>1182.5</v>
      </c>
      <c r="R46" s="13">
        <f t="shared" si="25"/>
        <v>4152.5</v>
      </c>
      <c r="S46" s="13">
        <f t="shared" si="26"/>
        <v>946</v>
      </c>
      <c r="T46" s="11">
        <f t="shared" si="8"/>
        <v>3206.5</v>
      </c>
      <c r="U46" s="130"/>
      <c r="V46" s="131"/>
    </row>
    <row r="47" spans="1:22" x14ac:dyDescent="0.3">
      <c r="A47" s="142">
        <v>44</v>
      </c>
      <c r="B47" s="16">
        <f t="shared" si="9"/>
        <v>44</v>
      </c>
      <c r="C47" s="13">
        <f t="shared" si="10"/>
        <v>1540</v>
      </c>
      <c r="D47" s="13">
        <f t="shared" si="19"/>
        <v>2640</v>
      </c>
      <c r="E47" s="12">
        <f t="shared" si="20"/>
        <v>880</v>
      </c>
      <c r="F47" s="12">
        <f t="shared" si="21"/>
        <v>1100</v>
      </c>
      <c r="G47" s="13">
        <f t="shared" si="11"/>
        <v>2875.1900000000028</v>
      </c>
      <c r="H47" s="13">
        <f t="shared" si="12"/>
        <v>3350.6199999999967</v>
      </c>
      <c r="I47" s="13">
        <f t="shared" si="13"/>
        <v>2928.5</v>
      </c>
      <c r="J47" s="13">
        <f t="shared" si="14"/>
        <v>2488.5</v>
      </c>
      <c r="K47" s="13">
        <f t="shared" si="15"/>
        <v>2929.75</v>
      </c>
      <c r="L47" s="13">
        <f t="shared" si="16"/>
        <v>2830.0600000000027</v>
      </c>
      <c r="M47" s="13">
        <f t="shared" si="17"/>
        <v>4249</v>
      </c>
      <c r="N47" s="13">
        <f t="shared" si="5"/>
        <v>1694</v>
      </c>
      <c r="O47" s="13">
        <f t="shared" si="22"/>
        <v>3564</v>
      </c>
      <c r="P47" s="12">
        <f t="shared" si="23"/>
        <v>968</v>
      </c>
      <c r="Q47" s="12">
        <f t="shared" si="24"/>
        <v>1210</v>
      </c>
      <c r="R47" s="13">
        <f t="shared" si="25"/>
        <v>4249</v>
      </c>
      <c r="S47" s="13">
        <f t="shared" si="26"/>
        <v>968</v>
      </c>
      <c r="T47" s="11">
        <f t="shared" si="8"/>
        <v>3281</v>
      </c>
      <c r="U47" s="130"/>
      <c r="V47" s="131"/>
    </row>
    <row r="48" spans="1:22" x14ac:dyDescent="0.3">
      <c r="A48" s="142">
        <v>45</v>
      </c>
      <c r="B48" s="16">
        <f t="shared" si="9"/>
        <v>45</v>
      </c>
      <c r="C48" s="13">
        <f t="shared" si="10"/>
        <v>1575</v>
      </c>
      <c r="D48" s="13">
        <f t="shared" si="19"/>
        <v>2700</v>
      </c>
      <c r="E48" s="12">
        <f t="shared" si="20"/>
        <v>900</v>
      </c>
      <c r="F48" s="12">
        <f t="shared" si="21"/>
        <v>1125</v>
      </c>
      <c r="G48" s="13">
        <f t="shared" si="11"/>
        <v>2940.450000000003</v>
      </c>
      <c r="H48" s="13">
        <f t="shared" si="12"/>
        <v>3426.7399999999966</v>
      </c>
      <c r="I48" s="13">
        <f t="shared" si="13"/>
        <v>2995</v>
      </c>
      <c r="J48" s="13">
        <f t="shared" si="14"/>
        <v>2545</v>
      </c>
      <c r="K48" s="13">
        <f t="shared" si="15"/>
        <v>2996.25</v>
      </c>
      <c r="L48" s="13">
        <f t="shared" si="16"/>
        <v>2894.3200000000029</v>
      </c>
      <c r="M48" s="13">
        <f t="shared" si="17"/>
        <v>4345.5</v>
      </c>
      <c r="N48" s="13">
        <f t="shared" si="5"/>
        <v>1732.5</v>
      </c>
      <c r="O48" s="13">
        <f t="shared" si="22"/>
        <v>3645</v>
      </c>
      <c r="P48" s="12">
        <f t="shared" si="23"/>
        <v>990</v>
      </c>
      <c r="Q48" s="12">
        <f t="shared" si="24"/>
        <v>1237.5</v>
      </c>
      <c r="R48" s="13">
        <f t="shared" si="25"/>
        <v>4345.5</v>
      </c>
      <c r="S48" s="13">
        <f t="shared" si="26"/>
        <v>990</v>
      </c>
      <c r="T48" s="11">
        <f t="shared" si="8"/>
        <v>3355.5</v>
      </c>
      <c r="U48" s="130"/>
      <c r="V48" s="131"/>
    </row>
    <row r="49" spans="1:22" x14ac:dyDescent="0.3">
      <c r="A49" s="142">
        <v>46</v>
      </c>
      <c r="B49" s="16">
        <f t="shared" si="9"/>
        <v>46</v>
      </c>
      <c r="C49" s="13">
        <f t="shared" si="10"/>
        <v>1610</v>
      </c>
      <c r="D49" s="13">
        <f t="shared" si="19"/>
        <v>2760</v>
      </c>
      <c r="E49" s="12">
        <f t="shared" si="20"/>
        <v>920</v>
      </c>
      <c r="F49" s="12">
        <f t="shared" si="21"/>
        <v>1150</v>
      </c>
      <c r="G49" s="13">
        <f t="shared" si="11"/>
        <v>3005.7100000000032</v>
      </c>
      <c r="H49" s="13">
        <f t="shared" si="12"/>
        <v>3502.8599999999965</v>
      </c>
      <c r="I49" s="13">
        <f t="shared" si="13"/>
        <v>3061.5</v>
      </c>
      <c r="J49" s="13">
        <f t="shared" si="14"/>
        <v>2601.5</v>
      </c>
      <c r="K49" s="13">
        <f t="shared" si="15"/>
        <v>3062.75</v>
      </c>
      <c r="L49" s="13">
        <f t="shared" si="16"/>
        <v>2958.5800000000031</v>
      </c>
      <c r="M49" s="13">
        <f t="shared" si="17"/>
        <v>4442</v>
      </c>
      <c r="N49" s="13">
        <f t="shared" si="5"/>
        <v>1771</v>
      </c>
      <c r="O49" s="13">
        <f t="shared" si="22"/>
        <v>3726</v>
      </c>
      <c r="P49" s="12">
        <f t="shared" si="23"/>
        <v>1012</v>
      </c>
      <c r="Q49" s="12">
        <f t="shared" si="24"/>
        <v>1265</v>
      </c>
      <c r="R49" s="13">
        <f t="shared" si="25"/>
        <v>4442</v>
      </c>
      <c r="S49" s="13">
        <f t="shared" si="26"/>
        <v>1012</v>
      </c>
      <c r="T49" s="11">
        <f t="shared" si="8"/>
        <v>3430</v>
      </c>
      <c r="U49" s="130"/>
      <c r="V49" s="131"/>
    </row>
    <row r="50" spans="1:22" x14ac:dyDescent="0.3">
      <c r="A50" s="142">
        <v>47</v>
      </c>
      <c r="B50" s="16">
        <f t="shared" si="9"/>
        <v>47</v>
      </c>
      <c r="C50" s="13">
        <f t="shared" si="10"/>
        <v>1645</v>
      </c>
      <c r="D50" s="13">
        <f t="shared" si="19"/>
        <v>2820</v>
      </c>
      <c r="E50" s="12">
        <f t="shared" si="20"/>
        <v>940</v>
      </c>
      <c r="F50" s="12">
        <f t="shared" si="21"/>
        <v>1175</v>
      </c>
      <c r="G50" s="13">
        <f t="shared" si="11"/>
        <v>3070.9700000000034</v>
      </c>
      <c r="H50" s="13">
        <f t="shared" si="12"/>
        <v>3578.9799999999964</v>
      </c>
      <c r="I50" s="13">
        <f t="shared" si="13"/>
        <v>3128</v>
      </c>
      <c r="J50" s="13">
        <f t="shared" si="14"/>
        <v>2658</v>
      </c>
      <c r="K50" s="13">
        <f t="shared" si="15"/>
        <v>3129.25</v>
      </c>
      <c r="L50" s="13">
        <f t="shared" si="16"/>
        <v>3022.8400000000033</v>
      </c>
      <c r="M50" s="13">
        <f t="shared" si="17"/>
        <v>4538.5</v>
      </c>
      <c r="N50" s="13">
        <f t="shared" si="5"/>
        <v>1809.5</v>
      </c>
      <c r="O50" s="13">
        <f t="shared" si="22"/>
        <v>3807</v>
      </c>
      <c r="P50" s="12">
        <f t="shared" si="23"/>
        <v>1034</v>
      </c>
      <c r="Q50" s="12">
        <f t="shared" si="24"/>
        <v>1292.5</v>
      </c>
      <c r="R50" s="13">
        <f t="shared" si="25"/>
        <v>4538.5</v>
      </c>
      <c r="S50" s="13">
        <f t="shared" si="26"/>
        <v>1034</v>
      </c>
      <c r="T50" s="11">
        <f t="shared" si="8"/>
        <v>3504.5</v>
      </c>
      <c r="U50" s="130"/>
      <c r="V50" s="131"/>
    </row>
    <row r="51" spans="1:22" x14ac:dyDescent="0.3">
      <c r="A51" s="142">
        <v>48</v>
      </c>
      <c r="B51" s="16">
        <f t="shared" si="9"/>
        <v>48</v>
      </c>
      <c r="C51" s="13">
        <f t="shared" si="10"/>
        <v>1680</v>
      </c>
      <c r="D51" s="13">
        <f t="shared" si="19"/>
        <v>2880</v>
      </c>
      <c r="E51" s="12">
        <f t="shared" si="20"/>
        <v>960</v>
      </c>
      <c r="F51" s="12">
        <f t="shared" si="21"/>
        <v>1200</v>
      </c>
      <c r="G51" s="13">
        <f t="shared" si="11"/>
        <v>3136.2300000000037</v>
      </c>
      <c r="H51" s="13">
        <f t="shared" si="12"/>
        <v>3655.0999999999963</v>
      </c>
      <c r="I51" s="13">
        <f t="shared" si="13"/>
        <v>3194.5</v>
      </c>
      <c r="J51" s="13">
        <f t="shared" si="14"/>
        <v>2714.5</v>
      </c>
      <c r="K51" s="13">
        <f t="shared" si="15"/>
        <v>3195.75</v>
      </c>
      <c r="L51" s="13">
        <f t="shared" si="16"/>
        <v>3087.1000000000035</v>
      </c>
      <c r="M51" s="13">
        <f t="shared" si="17"/>
        <v>4635</v>
      </c>
      <c r="N51" s="13">
        <f t="shared" si="5"/>
        <v>1848</v>
      </c>
      <c r="O51" s="13">
        <f t="shared" si="22"/>
        <v>3888</v>
      </c>
      <c r="P51" s="12">
        <f t="shared" si="23"/>
        <v>1056</v>
      </c>
      <c r="Q51" s="12">
        <f t="shared" si="24"/>
        <v>1320</v>
      </c>
      <c r="R51" s="13">
        <f t="shared" si="25"/>
        <v>4635</v>
      </c>
      <c r="S51" s="13">
        <f t="shared" si="26"/>
        <v>1056</v>
      </c>
      <c r="T51" s="11">
        <f t="shared" si="8"/>
        <v>3579</v>
      </c>
      <c r="U51" s="130"/>
      <c r="V51" s="131"/>
    </row>
    <row r="52" spans="1:22" x14ac:dyDescent="0.3">
      <c r="A52" s="142">
        <v>49</v>
      </c>
      <c r="B52" s="16">
        <f t="shared" si="9"/>
        <v>49</v>
      </c>
      <c r="C52" s="13">
        <f t="shared" si="10"/>
        <v>1715</v>
      </c>
      <c r="D52" s="13">
        <f t="shared" si="19"/>
        <v>2940</v>
      </c>
      <c r="E52" s="12">
        <f t="shared" si="20"/>
        <v>980</v>
      </c>
      <c r="F52" s="12">
        <f t="shared" si="21"/>
        <v>1225</v>
      </c>
      <c r="G52" s="13">
        <f t="shared" si="11"/>
        <v>3201.4900000000039</v>
      </c>
      <c r="H52" s="13">
        <f t="shared" si="12"/>
        <v>3731.2199999999962</v>
      </c>
      <c r="I52" s="13">
        <f t="shared" si="13"/>
        <v>3261</v>
      </c>
      <c r="J52" s="13">
        <f t="shared" si="14"/>
        <v>2771</v>
      </c>
      <c r="K52" s="13">
        <f t="shared" si="15"/>
        <v>3262.25</v>
      </c>
      <c r="L52" s="13">
        <f t="shared" si="16"/>
        <v>3151.3600000000038</v>
      </c>
      <c r="M52" s="13">
        <f t="shared" si="17"/>
        <v>4731.5</v>
      </c>
      <c r="N52" s="13">
        <f t="shared" si="5"/>
        <v>1886.5</v>
      </c>
      <c r="O52" s="13">
        <f t="shared" si="22"/>
        <v>3969</v>
      </c>
      <c r="P52" s="12">
        <f t="shared" si="23"/>
        <v>1078</v>
      </c>
      <c r="Q52" s="12">
        <f t="shared" si="24"/>
        <v>1347.5</v>
      </c>
      <c r="R52" s="13">
        <f t="shared" si="25"/>
        <v>4731.5</v>
      </c>
      <c r="S52" s="13">
        <f t="shared" si="26"/>
        <v>1078</v>
      </c>
      <c r="T52" s="11">
        <f t="shared" si="8"/>
        <v>3653.5</v>
      </c>
      <c r="U52" s="130"/>
      <c r="V52" s="131"/>
    </row>
    <row r="53" spans="1:22" ht="15" thickBot="1" x14ac:dyDescent="0.35">
      <c r="A53" s="143">
        <v>50</v>
      </c>
      <c r="B53" s="144">
        <f t="shared" si="9"/>
        <v>50</v>
      </c>
      <c r="C53" s="146">
        <f t="shared" si="10"/>
        <v>1750</v>
      </c>
      <c r="D53" s="146">
        <f t="shared" si="19"/>
        <v>3000</v>
      </c>
      <c r="E53" s="145">
        <f t="shared" si="20"/>
        <v>1000</v>
      </c>
      <c r="F53" s="145">
        <f t="shared" si="21"/>
        <v>1250</v>
      </c>
      <c r="G53" s="146">
        <f t="shared" si="11"/>
        <v>3266.7500000000041</v>
      </c>
      <c r="H53" s="146">
        <f t="shared" si="12"/>
        <v>3807.3399999999961</v>
      </c>
      <c r="I53" s="146">
        <f t="shared" si="13"/>
        <v>3327.5</v>
      </c>
      <c r="J53" s="146">
        <f t="shared" si="14"/>
        <v>2827.5</v>
      </c>
      <c r="K53" s="146">
        <f t="shared" si="15"/>
        <v>3328.75</v>
      </c>
      <c r="L53" s="146">
        <f t="shared" si="16"/>
        <v>3215.620000000004</v>
      </c>
      <c r="M53" s="146">
        <f t="shared" si="17"/>
        <v>4828</v>
      </c>
      <c r="N53" s="146">
        <f t="shared" si="5"/>
        <v>1925</v>
      </c>
      <c r="O53" s="146">
        <f t="shared" si="22"/>
        <v>4050</v>
      </c>
      <c r="P53" s="145">
        <f t="shared" si="23"/>
        <v>1100</v>
      </c>
      <c r="Q53" s="145">
        <f t="shared" si="24"/>
        <v>1375</v>
      </c>
      <c r="R53" s="146">
        <f t="shared" si="25"/>
        <v>4828</v>
      </c>
      <c r="S53" s="146">
        <f t="shared" si="26"/>
        <v>1100</v>
      </c>
      <c r="T53" s="38">
        <f t="shared" si="8"/>
        <v>3728</v>
      </c>
      <c r="U53" s="172"/>
      <c r="V53" s="173"/>
    </row>
    <row r="54" spans="1:22" x14ac:dyDescent="0.3">
      <c r="A54" s="8"/>
      <c r="B54" s="22"/>
      <c r="C54" s="14"/>
      <c r="D54" s="14"/>
      <c r="E54" s="8"/>
      <c r="F54" s="8"/>
      <c r="G54" s="14"/>
      <c r="H54" s="14"/>
      <c r="I54" s="14"/>
      <c r="J54" s="14"/>
      <c r="K54" s="14"/>
      <c r="L54" s="14"/>
      <c r="M54" s="14"/>
      <c r="N54" s="14"/>
      <c r="O54" s="14"/>
      <c r="P54" s="8"/>
      <c r="Q54" s="8"/>
      <c r="R54" s="14"/>
      <c r="S54" s="14"/>
      <c r="T54" s="10"/>
      <c r="U54" s="25"/>
      <c r="V54" s="25"/>
    </row>
    <row r="55" spans="1:22" x14ac:dyDescent="0.3">
      <c r="A55" s="8"/>
      <c r="B55" s="22"/>
      <c r="C55" s="14"/>
      <c r="D55" s="14"/>
      <c r="E55" s="8"/>
      <c r="F55" s="8"/>
      <c r="G55" s="14"/>
      <c r="H55" s="14"/>
      <c r="I55" s="14"/>
      <c r="J55" s="14"/>
      <c r="K55" s="14"/>
      <c r="L55" s="14"/>
      <c r="M55" s="14"/>
      <c r="N55" s="14"/>
      <c r="O55" s="14"/>
      <c r="P55" s="8"/>
      <c r="Q55" s="8"/>
      <c r="R55" s="14"/>
      <c r="S55" s="14"/>
      <c r="T55" s="10"/>
      <c r="U55" s="25"/>
      <c r="V55" s="25"/>
    </row>
    <row r="56" spans="1:22" x14ac:dyDescent="0.3">
      <c r="A56" s="8"/>
      <c r="B56" s="22"/>
      <c r="C56" s="14"/>
      <c r="D56" s="14"/>
      <c r="E56" s="8"/>
      <c r="F56" s="8"/>
      <c r="G56" s="14"/>
      <c r="H56" s="14"/>
      <c r="I56" s="14"/>
      <c r="J56" s="14"/>
      <c r="K56" s="14"/>
      <c r="L56" s="14"/>
      <c r="M56" s="14"/>
      <c r="N56" s="14"/>
      <c r="O56" s="14"/>
      <c r="P56" s="8"/>
      <c r="Q56" s="8"/>
      <c r="R56" s="14"/>
      <c r="S56" s="14"/>
      <c r="T56" s="10"/>
      <c r="U56" s="25"/>
      <c r="V56" s="25"/>
    </row>
    <row r="57" spans="1:22" x14ac:dyDescent="0.3">
      <c r="A57" s="8"/>
      <c r="B57" s="22"/>
      <c r="C57" s="14"/>
      <c r="D57" s="14"/>
      <c r="E57" s="8"/>
      <c r="F57" s="8"/>
      <c r="G57" s="14"/>
      <c r="H57" s="14"/>
      <c r="I57" s="14"/>
      <c r="J57" s="14"/>
      <c r="K57" s="14"/>
      <c r="L57" s="14"/>
      <c r="M57" s="14"/>
      <c r="N57" s="14"/>
      <c r="O57" s="14"/>
      <c r="P57" s="8"/>
      <c r="Q57" s="8"/>
      <c r="R57" s="14"/>
      <c r="S57" s="14"/>
      <c r="T57" s="10"/>
      <c r="U57" s="25"/>
      <c r="V57" s="25"/>
    </row>
    <row r="58" spans="1:22" x14ac:dyDescent="0.3">
      <c r="A58" s="8"/>
      <c r="B58" s="22"/>
      <c r="C58" s="14"/>
      <c r="D58" s="14"/>
      <c r="E58" s="8"/>
      <c r="F58" s="8"/>
      <c r="G58" s="14"/>
      <c r="H58" s="14"/>
      <c r="I58" s="14"/>
      <c r="J58" s="14"/>
      <c r="K58" s="14"/>
      <c r="L58" s="14"/>
      <c r="M58" s="14"/>
      <c r="N58" s="14"/>
      <c r="O58" s="14"/>
      <c r="P58" s="8"/>
      <c r="Q58" s="8"/>
      <c r="R58" s="14"/>
      <c r="S58" s="14"/>
      <c r="T58" s="10"/>
      <c r="U58" s="25"/>
      <c r="V58" s="25"/>
    </row>
    <row r="59" spans="1:22" x14ac:dyDescent="0.3">
      <c r="A59" s="8"/>
      <c r="B59" s="22"/>
      <c r="C59" s="14"/>
      <c r="D59" s="14"/>
      <c r="E59" s="8"/>
      <c r="F59" s="8"/>
      <c r="G59" s="14"/>
      <c r="H59" s="14"/>
      <c r="I59" s="14"/>
      <c r="J59" s="14"/>
      <c r="K59" s="14"/>
      <c r="L59" s="14"/>
      <c r="M59" s="14"/>
      <c r="N59" s="14"/>
      <c r="O59" s="14"/>
      <c r="P59" s="8"/>
      <c r="Q59" s="8"/>
      <c r="R59" s="14"/>
      <c r="S59" s="14"/>
      <c r="T59" s="10"/>
      <c r="U59" s="25"/>
      <c r="V59" s="25"/>
    </row>
    <row r="60" spans="1:22" x14ac:dyDescent="0.3">
      <c r="A60" s="8"/>
      <c r="B60" s="22"/>
      <c r="C60" s="14"/>
      <c r="D60" s="14"/>
      <c r="E60" s="8"/>
      <c r="F60" s="8"/>
      <c r="G60" s="14"/>
      <c r="H60" s="14"/>
      <c r="I60" s="14"/>
      <c r="J60" s="14"/>
      <c r="K60" s="14"/>
      <c r="L60" s="14"/>
      <c r="M60" s="14"/>
      <c r="N60" s="14"/>
      <c r="O60" s="14"/>
      <c r="P60" s="8"/>
      <c r="Q60" s="8"/>
      <c r="R60" s="14"/>
      <c r="S60" s="14"/>
      <c r="T60" s="10"/>
      <c r="U60" s="25"/>
      <c r="V60" s="25"/>
    </row>
    <row r="61" spans="1:22" x14ac:dyDescent="0.3">
      <c r="A61" s="8"/>
      <c r="B61" s="22"/>
      <c r="C61" s="14"/>
      <c r="D61" s="14"/>
      <c r="E61" s="8"/>
      <c r="F61" s="8"/>
      <c r="G61" s="14"/>
      <c r="H61" s="14"/>
      <c r="I61" s="14"/>
      <c r="J61" s="14"/>
      <c r="K61" s="14"/>
      <c r="L61" s="14"/>
      <c r="M61" s="14"/>
      <c r="N61" s="14"/>
      <c r="O61" s="14"/>
      <c r="P61" s="8"/>
      <c r="Q61" s="8"/>
      <c r="R61" s="14"/>
      <c r="S61" s="14"/>
      <c r="T61" s="10"/>
      <c r="U61" s="25"/>
      <c r="V61" s="25"/>
    </row>
    <row r="62" spans="1:22" x14ac:dyDescent="0.3">
      <c r="A62" s="8"/>
      <c r="B62" s="22"/>
      <c r="C62" s="14"/>
      <c r="D62" s="14"/>
      <c r="E62" s="8"/>
      <c r="F62" s="8"/>
      <c r="G62" s="14"/>
      <c r="H62" s="14"/>
      <c r="I62" s="14"/>
      <c r="J62" s="14"/>
      <c r="K62" s="14"/>
      <c r="L62" s="14"/>
      <c r="M62" s="14"/>
      <c r="N62" s="14"/>
      <c r="O62" s="14"/>
      <c r="P62" s="8"/>
      <c r="Q62" s="8"/>
      <c r="R62" s="14"/>
      <c r="S62" s="14"/>
      <c r="T62" s="10"/>
      <c r="U62" s="25"/>
      <c r="V62" s="25"/>
    </row>
    <row r="63" spans="1:22" x14ac:dyDescent="0.3">
      <c r="A63" s="8"/>
      <c r="B63" s="22"/>
      <c r="C63" s="14"/>
      <c r="D63" s="14"/>
      <c r="E63" s="8"/>
      <c r="F63" s="8"/>
      <c r="G63" s="14"/>
      <c r="H63" s="14"/>
      <c r="I63" s="14"/>
      <c r="J63" s="14"/>
      <c r="K63" s="14"/>
      <c r="L63" s="14"/>
      <c r="M63" s="14"/>
      <c r="N63" s="14"/>
      <c r="O63" s="14"/>
      <c r="P63" s="8"/>
      <c r="Q63" s="8"/>
      <c r="R63" s="14"/>
      <c r="S63" s="14"/>
      <c r="T63" s="10"/>
      <c r="U63" s="25"/>
      <c r="V63" s="25"/>
    </row>
    <row r="64" spans="1:22" x14ac:dyDescent="0.3">
      <c r="A64" s="8"/>
      <c r="B64" s="22"/>
      <c r="C64" s="14"/>
      <c r="D64" s="14"/>
      <c r="E64" s="8"/>
      <c r="F64" s="8"/>
      <c r="G64" s="14"/>
      <c r="H64" s="14"/>
      <c r="I64" s="14"/>
      <c r="J64" s="14"/>
      <c r="K64" s="14"/>
      <c r="L64" s="14"/>
      <c r="M64" s="14"/>
      <c r="N64" s="14"/>
      <c r="O64" s="14"/>
      <c r="P64" s="8"/>
      <c r="Q64" s="8"/>
      <c r="R64" s="14"/>
      <c r="S64" s="14"/>
      <c r="T64" s="10"/>
      <c r="U64" s="25"/>
      <c r="V64" s="25"/>
    </row>
    <row r="65" spans="1:22" x14ac:dyDescent="0.3">
      <c r="A65" s="8"/>
      <c r="B65" s="22"/>
      <c r="C65" s="14"/>
      <c r="D65" s="14"/>
      <c r="E65" s="8"/>
      <c r="F65" s="8"/>
      <c r="G65" s="14"/>
      <c r="H65" s="14"/>
      <c r="I65" s="14"/>
      <c r="J65" s="14"/>
      <c r="K65" s="14"/>
      <c r="L65" s="14"/>
      <c r="M65" s="14"/>
      <c r="N65" s="14"/>
      <c r="O65" s="14"/>
      <c r="P65" s="8"/>
      <c r="Q65" s="8"/>
      <c r="R65" s="14"/>
      <c r="S65" s="14"/>
      <c r="T65" s="10"/>
      <c r="U65" s="25"/>
      <c r="V65" s="25"/>
    </row>
    <row r="66" spans="1:22" x14ac:dyDescent="0.3">
      <c r="A66" s="8"/>
      <c r="B66" s="22"/>
      <c r="C66" s="14"/>
      <c r="D66" s="14"/>
      <c r="E66" s="8"/>
      <c r="F66" s="8"/>
      <c r="G66" s="14"/>
      <c r="H66" s="14"/>
      <c r="I66" s="14"/>
      <c r="J66" s="14"/>
      <c r="K66" s="14"/>
      <c r="L66" s="14"/>
      <c r="M66" s="14"/>
      <c r="N66" s="14"/>
      <c r="O66" s="14"/>
      <c r="P66" s="8"/>
      <c r="Q66" s="8"/>
      <c r="R66" s="14"/>
      <c r="S66" s="14"/>
      <c r="T66" s="10"/>
      <c r="U66" s="25"/>
      <c r="V66" s="25"/>
    </row>
    <row r="67" spans="1:22" x14ac:dyDescent="0.3">
      <c r="A67" s="8"/>
      <c r="B67" s="22"/>
      <c r="C67" s="14"/>
      <c r="D67" s="14"/>
      <c r="E67" s="8"/>
      <c r="F67" s="8"/>
      <c r="G67" s="14"/>
      <c r="H67" s="14"/>
      <c r="I67" s="14"/>
      <c r="J67" s="14"/>
      <c r="K67" s="14"/>
      <c r="L67" s="14"/>
      <c r="M67" s="14"/>
      <c r="N67" s="14"/>
      <c r="O67" s="14"/>
      <c r="P67" s="8"/>
      <c r="Q67" s="8"/>
      <c r="R67" s="14"/>
      <c r="S67" s="14"/>
      <c r="T67" s="10"/>
      <c r="U67" s="25"/>
      <c r="V67" s="25"/>
    </row>
    <row r="68" spans="1:22" x14ac:dyDescent="0.3">
      <c r="A68" s="8"/>
      <c r="B68" s="22"/>
      <c r="C68" s="14"/>
      <c r="D68" s="14"/>
      <c r="E68" s="8"/>
      <c r="F68" s="8"/>
      <c r="G68" s="14"/>
      <c r="H68" s="14"/>
      <c r="I68" s="14"/>
      <c r="J68" s="14"/>
      <c r="K68" s="14"/>
      <c r="L68" s="14"/>
      <c r="M68" s="14"/>
      <c r="N68" s="14"/>
      <c r="O68" s="14"/>
      <c r="P68" s="8"/>
      <c r="Q68" s="8"/>
      <c r="R68" s="14"/>
      <c r="S68" s="14"/>
      <c r="T68" s="10"/>
      <c r="U68" s="25"/>
      <c r="V68" s="25"/>
    </row>
    <row r="69" spans="1:22" x14ac:dyDescent="0.3">
      <c r="A69" s="8"/>
      <c r="B69" s="22"/>
      <c r="C69" s="14"/>
      <c r="D69" s="14"/>
      <c r="E69" s="8"/>
      <c r="F69" s="8"/>
      <c r="G69" s="14"/>
      <c r="H69" s="14"/>
      <c r="I69" s="14"/>
      <c r="J69" s="14"/>
      <c r="K69" s="14"/>
      <c r="L69" s="14"/>
      <c r="M69" s="14"/>
      <c r="N69" s="14"/>
      <c r="O69" s="14"/>
      <c r="P69" s="8"/>
      <c r="Q69" s="8"/>
      <c r="R69" s="14"/>
      <c r="S69" s="14"/>
      <c r="T69" s="10"/>
      <c r="U69" s="25"/>
      <c r="V69" s="25"/>
    </row>
    <row r="70" spans="1:22" x14ac:dyDescent="0.3">
      <c r="A70" s="8"/>
      <c r="B70" s="22"/>
      <c r="C70" s="14"/>
      <c r="D70" s="14"/>
      <c r="E70" s="8"/>
      <c r="F70" s="8"/>
      <c r="G70" s="14"/>
      <c r="H70" s="14"/>
      <c r="I70" s="14"/>
      <c r="J70" s="14"/>
      <c r="K70" s="14"/>
      <c r="L70" s="14"/>
      <c r="M70" s="14"/>
      <c r="N70" s="14"/>
      <c r="O70" s="14"/>
      <c r="P70" s="8"/>
      <c r="Q70" s="8"/>
      <c r="R70" s="14"/>
      <c r="S70" s="14"/>
      <c r="T70" s="10"/>
      <c r="U70" s="25"/>
      <c r="V70" s="25"/>
    </row>
    <row r="71" spans="1:22" x14ac:dyDescent="0.3">
      <c r="A71" s="8"/>
      <c r="B71" s="22"/>
      <c r="C71" s="14"/>
      <c r="D71" s="14"/>
      <c r="E71" s="8"/>
      <c r="F71" s="8"/>
      <c r="G71" s="14"/>
      <c r="H71" s="14"/>
      <c r="I71" s="14"/>
      <c r="J71" s="14"/>
      <c r="K71" s="14"/>
      <c r="L71" s="14"/>
      <c r="M71" s="14"/>
      <c r="N71" s="14"/>
      <c r="O71" s="14"/>
      <c r="P71" s="8"/>
      <c r="Q71" s="8"/>
      <c r="R71" s="14"/>
      <c r="S71" s="14"/>
      <c r="T71" s="10"/>
      <c r="U71" s="25"/>
      <c r="V71" s="25"/>
    </row>
    <row r="72" spans="1:22" x14ac:dyDescent="0.3">
      <c r="A72" s="8"/>
      <c r="B72" s="22"/>
      <c r="C72" s="14"/>
      <c r="D72" s="14"/>
      <c r="E72" s="8"/>
      <c r="F72" s="8"/>
      <c r="G72" s="14"/>
      <c r="H72" s="14"/>
      <c r="I72" s="14"/>
      <c r="J72" s="14"/>
      <c r="K72" s="14"/>
      <c r="L72" s="14"/>
      <c r="M72" s="14"/>
      <c r="N72" s="14"/>
      <c r="O72" s="14"/>
      <c r="P72" s="8"/>
      <c r="Q72" s="8"/>
      <c r="R72" s="14"/>
      <c r="S72" s="14"/>
      <c r="T72" s="10"/>
      <c r="U72" s="25"/>
      <c r="V72" s="25"/>
    </row>
    <row r="73" spans="1:22" x14ac:dyDescent="0.3">
      <c r="A73" s="8"/>
      <c r="B73" s="22"/>
      <c r="C73" s="14"/>
      <c r="D73" s="14"/>
      <c r="E73" s="8"/>
      <c r="F73" s="8"/>
      <c r="G73" s="14"/>
      <c r="H73" s="14"/>
      <c r="I73" s="14"/>
      <c r="J73" s="14"/>
      <c r="K73" s="14"/>
      <c r="L73" s="14"/>
      <c r="M73" s="14"/>
      <c r="N73" s="14"/>
      <c r="O73" s="14"/>
      <c r="P73" s="8"/>
      <c r="Q73" s="8"/>
      <c r="R73" s="14"/>
      <c r="S73" s="14"/>
      <c r="T73" s="10"/>
      <c r="U73" s="25"/>
      <c r="V73" s="25"/>
    </row>
    <row r="74" spans="1:22" x14ac:dyDescent="0.3">
      <c r="A74" s="8"/>
      <c r="B74" s="22"/>
      <c r="C74" s="14"/>
      <c r="D74" s="14"/>
      <c r="E74" s="8"/>
      <c r="F74" s="8"/>
      <c r="G74" s="14"/>
      <c r="H74" s="14"/>
      <c r="I74" s="14"/>
      <c r="J74" s="14"/>
      <c r="K74" s="14"/>
      <c r="L74" s="14"/>
      <c r="M74" s="14"/>
      <c r="N74" s="14"/>
      <c r="O74" s="14"/>
      <c r="P74" s="8"/>
      <c r="Q74" s="8"/>
      <c r="R74" s="14"/>
      <c r="S74" s="14"/>
      <c r="T74" s="10"/>
      <c r="U74" s="25"/>
      <c r="V74" s="25"/>
    </row>
    <row r="75" spans="1:22" x14ac:dyDescent="0.3">
      <c r="A75" s="8"/>
      <c r="B75" s="22"/>
      <c r="C75" s="14"/>
      <c r="D75" s="14"/>
      <c r="E75" s="8"/>
      <c r="F75" s="8"/>
      <c r="G75" s="14"/>
      <c r="H75" s="14"/>
      <c r="I75" s="14"/>
      <c r="J75" s="14"/>
      <c r="K75" s="14"/>
      <c r="L75" s="14"/>
      <c r="M75" s="14"/>
      <c r="N75" s="14"/>
      <c r="O75" s="14"/>
      <c r="P75" s="8"/>
      <c r="Q75" s="8"/>
      <c r="R75" s="14"/>
      <c r="S75" s="14"/>
      <c r="T75" s="10"/>
      <c r="U75" s="25"/>
      <c r="V75" s="25"/>
    </row>
    <row r="76" spans="1:22" x14ac:dyDescent="0.3">
      <c r="A76" s="8"/>
      <c r="B76" s="22"/>
      <c r="C76" s="14"/>
      <c r="D76" s="14"/>
      <c r="E76" s="8"/>
      <c r="F76" s="8"/>
      <c r="G76" s="14"/>
      <c r="H76" s="14"/>
      <c r="I76" s="14"/>
      <c r="J76" s="14"/>
      <c r="K76" s="14"/>
      <c r="L76" s="14"/>
      <c r="M76" s="14"/>
      <c r="N76" s="14"/>
      <c r="O76" s="14"/>
      <c r="P76" s="8"/>
      <c r="Q76" s="8"/>
      <c r="R76" s="14"/>
      <c r="S76" s="14"/>
      <c r="T76" s="10"/>
      <c r="U76" s="25"/>
      <c r="V76" s="25"/>
    </row>
    <row r="77" spans="1:22" x14ac:dyDescent="0.3">
      <c r="A77" s="8"/>
      <c r="B77" s="22"/>
      <c r="C77" s="14"/>
      <c r="D77" s="14"/>
      <c r="E77" s="8"/>
      <c r="F77" s="8"/>
      <c r="G77" s="14"/>
      <c r="H77" s="14"/>
      <c r="I77" s="14"/>
      <c r="J77" s="14"/>
      <c r="K77" s="14"/>
      <c r="L77" s="14"/>
      <c r="M77" s="14"/>
      <c r="N77" s="14"/>
      <c r="O77" s="14"/>
      <c r="P77" s="8"/>
      <c r="Q77" s="8"/>
      <c r="R77" s="14"/>
      <c r="S77" s="14"/>
      <c r="T77" s="10"/>
      <c r="U77" s="25"/>
      <c r="V77" s="25"/>
    </row>
    <row r="78" spans="1:22" x14ac:dyDescent="0.3">
      <c r="A78" s="8"/>
      <c r="B78" s="22"/>
      <c r="C78" s="14"/>
      <c r="D78" s="14"/>
      <c r="E78" s="8"/>
      <c r="F78" s="8"/>
      <c r="G78" s="14"/>
      <c r="H78" s="14"/>
      <c r="I78" s="14"/>
      <c r="J78" s="14"/>
      <c r="K78" s="14"/>
      <c r="L78" s="14"/>
      <c r="M78" s="14"/>
      <c r="N78" s="14"/>
      <c r="O78" s="14"/>
      <c r="P78" s="8"/>
      <c r="Q78" s="8"/>
      <c r="R78" s="14"/>
      <c r="S78" s="14"/>
      <c r="T78" s="10"/>
      <c r="U78" s="25"/>
      <c r="V78" s="25"/>
    </row>
    <row r="79" spans="1:22" x14ac:dyDescent="0.3">
      <c r="A79" s="8"/>
      <c r="B79" s="22"/>
      <c r="C79" s="14"/>
      <c r="D79" s="14"/>
      <c r="E79" s="8"/>
      <c r="F79" s="8"/>
      <c r="G79" s="14"/>
      <c r="H79" s="14"/>
      <c r="I79" s="14"/>
      <c r="J79" s="14"/>
      <c r="K79" s="14"/>
      <c r="L79" s="14"/>
      <c r="M79" s="14"/>
      <c r="N79" s="14"/>
      <c r="O79" s="14"/>
      <c r="P79" s="8"/>
      <c r="Q79" s="8"/>
      <c r="R79" s="14"/>
      <c r="S79" s="14"/>
      <c r="T79" s="10"/>
      <c r="U79" s="25"/>
      <c r="V79" s="25"/>
    </row>
    <row r="80" spans="1:22" x14ac:dyDescent="0.3">
      <c r="A80" s="8"/>
      <c r="B80" s="22"/>
      <c r="C80" s="14"/>
      <c r="D80" s="14"/>
      <c r="E80" s="8"/>
      <c r="F80" s="8"/>
      <c r="G80" s="14"/>
      <c r="H80" s="14"/>
      <c r="I80" s="14"/>
      <c r="J80" s="14"/>
      <c r="K80" s="14"/>
      <c r="L80" s="14"/>
      <c r="M80" s="14"/>
      <c r="N80" s="14"/>
      <c r="O80" s="14"/>
      <c r="P80" s="8"/>
      <c r="Q80" s="8"/>
      <c r="R80" s="14"/>
      <c r="S80" s="14"/>
      <c r="T80" s="10"/>
      <c r="U80" s="25"/>
      <c r="V80" s="25"/>
    </row>
    <row r="81" spans="1:22" x14ac:dyDescent="0.3">
      <c r="A81" s="8"/>
      <c r="B81" s="22"/>
      <c r="C81" s="14"/>
      <c r="D81" s="14"/>
      <c r="E81" s="8"/>
      <c r="F81" s="8"/>
      <c r="G81" s="14"/>
      <c r="H81" s="14"/>
      <c r="I81" s="14"/>
      <c r="J81" s="14"/>
      <c r="K81" s="14"/>
      <c r="L81" s="14"/>
      <c r="M81" s="14"/>
      <c r="N81" s="14"/>
      <c r="O81" s="14"/>
      <c r="P81" s="8"/>
      <c r="Q81" s="8"/>
      <c r="R81" s="14"/>
      <c r="S81" s="14"/>
      <c r="T81" s="10"/>
      <c r="U81" s="25"/>
      <c r="V81" s="25"/>
    </row>
    <row r="82" spans="1:22" x14ac:dyDescent="0.3">
      <c r="A82" s="8"/>
      <c r="B82" s="22"/>
      <c r="C82" s="14"/>
      <c r="D82" s="14"/>
      <c r="E82" s="8"/>
      <c r="F82" s="8"/>
      <c r="G82" s="14"/>
      <c r="H82" s="14"/>
      <c r="I82" s="14"/>
      <c r="J82" s="14"/>
      <c r="K82" s="14"/>
      <c r="L82" s="14"/>
      <c r="M82" s="14"/>
      <c r="N82" s="14"/>
      <c r="O82" s="14"/>
      <c r="P82" s="8"/>
      <c r="Q82" s="8"/>
      <c r="R82" s="14"/>
      <c r="S82" s="14"/>
      <c r="T82" s="10"/>
      <c r="U82" s="25"/>
      <c r="V82" s="25"/>
    </row>
    <row r="83" spans="1:22" x14ac:dyDescent="0.3">
      <c r="A83" s="8"/>
      <c r="B83" s="22"/>
      <c r="C83" s="14"/>
      <c r="D83" s="14"/>
      <c r="E83" s="8"/>
      <c r="F83" s="8"/>
      <c r="G83" s="14"/>
      <c r="H83" s="14"/>
      <c r="I83" s="14"/>
      <c r="J83" s="14"/>
      <c r="K83" s="14"/>
      <c r="L83" s="14"/>
      <c r="M83" s="14"/>
      <c r="N83" s="14"/>
      <c r="O83" s="14"/>
      <c r="P83" s="8"/>
      <c r="Q83" s="8"/>
      <c r="R83" s="14"/>
      <c r="S83" s="14"/>
      <c r="T83" s="10"/>
      <c r="U83" s="25"/>
      <c r="V83" s="25"/>
    </row>
    <row r="84" spans="1:22" x14ac:dyDescent="0.3">
      <c r="A84" s="8"/>
      <c r="B84" s="22"/>
      <c r="C84" s="14"/>
      <c r="D84" s="14"/>
      <c r="E84" s="8"/>
      <c r="F84" s="8"/>
      <c r="G84" s="14"/>
      <c r="H84" s="14"/>
      <c r="I84" s="14"/>
      <c r="J84" s="14"/>
      <c r="K84" s="14"/>
      <c r="L84" s="14"/>
      <c r="M84" s="14"/>
      <c r="N84" s="14"/>
      <c r="O84" s="14"/>
      <c r="P84" s="8"/>
      <c r="Q84" s="8"/>
      <c r="R84" s="14"/>
      <c r="S84" s="14"/>
      <c r="T84" s="10"/>
      <c r="U84" s="25"/>
      <c r="V84" s="25"/>
    </row>
    <row r="85" spans="1:22" x14ac:dyDescent="0.3">
      <c r="A85" s="8"/>
      <c r="B85" s="22"/>
      <c r="C85" s="14"/>
      <c r="D85" s="14"/>
      <c r="E85" s="8"/>
      <c r="F85" s="8"/>
      <c r="G85" s="14"/>
      <c r="H85" s="14"/>
      <c r="I85" s="14"/>
      <c r="J85" s="14"/>
      <c r="K85" s="14"/>
      <c r="L85" s="14"/>
      <c r="M85" s="14"/>
      <c r="N85" s="14"/>
      <c r="O85" s="14"/>
      <c r="P85" s="8"/>
      <c r="Q85" s="8"/>
      <c r="R85" s="14"/>
      <c r="S85" s="14"/>
      <c r="T85" s="10"/>
      <c r="U85" s="25"/>
      <c r="V85" s="25"/>
    </row>
    <row r="86" spans="1:22" x14ac:dyDescent="0.3">
      <c r="A86" s="8"/>
      <c r="B86" s="22"/>
      <c r="C86" s="14"/>
      <c r="D86" s="14"/>
      <c r="E86" s="8"/>
      <c r="F86" s="8"/>
      <c r="G86" s="14"/>
      <c r="H86" s="14"/>
      <c r="I86" s="14"/>
      <c r="J86" s="14"/>
      <c r="K86" s="14"/>
      <c r="L86" s="14"/>
      <c r="M86" s="14"/>
      <c r="N86" s="14"/>
      <c r="O86" s="14"/>
      <c r="P86" s="8"/>
      <c r="Q86" s="8"/>
      <c r="R86" s="14"/>
      <c r="S86" s="14"/>
      <c r="T86" s="10"/>
      <c r="U86" s="25"/>
      <c r="V86" s="25"/>
    </row>
    <row r="87" spans="1:22" x14ac:dyDescent="0.3">
      <c r="A87" s="8"/>
      <c r="B87" s="22"/>
      <c r="C87" s="14"/>
      <c r="D87" s="14"/>
      <c r="E87" s="8"/>
      <c r="F87" s="8"/>
      <c r="G87" s="14"/>
      <c r="H87" s="14"/>
      <c r="I87" s="14"/>
      <c r="J87" s="14"/>
      <c r="K87" s="14"/>
      <c r="L87" s="14"/>
      <c r="M87" s="14"/>
      <c r="N87" s="14"/>
      <c r="O87" s="14"/>
      <c r="P87" s="8"/>
      <c r="Q87" s="8"/>
      <c r="R87" s="14"/>
      <c r="S87" s="14"/>
      <c r="T87" s="10"/>
      <c r="U87" s="25"/>
      <c r="V87" s="25"/>
    </row>
    <row r="88" spans="1:22" x14ac:dyDescent="0.3">
      <c r="A88" s="8"/>
      <c r="B88" s="22"/>
      <c r="C88" s="14"/>
      <c r="D88" s="14"/>
      <c r="E88" s="8"/>
      <c r="F88" s="8"/>
      <c r="G88" s="14"/>
      <c r="H88" s="14"/>
      <c r="I88" s="14"/>
      <c r="J88" s="14"/>
      <c r="K88" s="14"/>
      <c r="L88" s="14"/>
      <c r="M88" s="14"/>
      <c r="N88" s="14"/>
      <c r="O88" s="14"/>
      <c r="P88" s="8"/>
      <c r="Q88" s="8"/>
      <c r="R88" s="14"/>
      <c r="S88" s="14"/>
      <c r="T88" s="10"/>
      <c r="U88" s="25"/>
      <c r="V88" s="25"/>
    </row>
    <row r="89" spans="1:22" x14ac:dyDescent="0.3">
      <c r="A89" s="8"/>
      <c r="B89" s="22"/>
      <c r="C89" s="14"/>
      <c r="D89" s="14"/>
      <c r="E89" s="8"/>
      <c r="F89" s="8"/>
      <c r="G89" s="14"/>
      <c r="H89" s="14"/>
      <c r="I89" s="14"/>
      <c r="J89" s="14"/>
      <c r="K89" s="14"/>
      <c r="L89" s="14"/>
      <c r="M89" s="14"/>
      <c r="N89" s="14"/>
      <c r="O89" s="14"/>
      <c r="P89" s="8"/>
      <c r="Q89" s="8"/>
      <c r="R89" s="14"/>
      <c r="S89" s="14"/>
      <c r="T89" s="10"/>
      <c r="U89" s="25"/>
      <c r="V89" s="25"/>
    </row>
    <row r="90" spans="1:22" x14ac:dyDescent="0.3">
      <c r="A90" s="8"/>
      <c r="B90" s="22"/>
      <c r="C90" s="14"/>
      <c r="D90" s="14"/>
      <c r="E90" s="8"/>
      <c r="F90" s="8"/>
      <c r="G90" s="14"/>
      <c r="H90" s="14"/>
      <c r="I90" s="14"/>
      <c r="J90" s="14"/>
      <c r="K90" s="14"/>
      <c r="L90" s="14"/>
      <c r="M90" s="14"/>
      <c r="N90" s="14"/>
      <c r="O90" s="14"/>
      <c r="P90" s="8"/>
      <c r="Q90" s="8"/>
      <c r="R90" s="14"/>
      <c r="S90" s="14"/>
      <c r="T90" s="10"/>
      <c r="U90" s="25"/>
      <c r="V90" s="25"/>
    </row>
    <row r="91" spans="1:22" x14ac:dyDescent="0.3">
      <c r="A91" s="8"/>
      <c r="B91" s="22"/>
      <c r="C91" s="14"/>
      <c r="D91" s="14"/>
      <c r="E91" s="8"/>
      <c r="F91" s="8"/>
      <c r="G91" s="14"/>
      <c r="H91" s="14"/>
      <c r="I91" s="14"/>
      <c r="J91" s="14"/>
      <c r="K91" s="14"/>
      <c r="L91" s="14"/>
      <c r="M91" s="14"/>
      <c r="N91" s="14"/>
      <c r="O91" s="14"/>
      <c r="P91" s="8"/>
      <c r="Q91" s="8"/>
      <c r="R91" s="14"/>
      <c r="S91" s="14"/>
      <c r="T91" s="10"/>
      <c r="U91" s="25"/>
      <c r="V91" s="25"/>
    </row>
    <row r="92" spans="1:22" x14ac:dyDescent="0.3">
      <c r="A92" s="8"/>
      <c r="B92" s="22"/>
      <c r="C92" s="14"/>
      <c r="D92" s="14"/>
      <c r="E92" s="8"/>
      <c r="F92" s="8"/>
      <c r="G92" s="14"/>
      <c r="H92" s="14"/>
      <c r="I92" s="14"/>
      <c r="J92" s="14"/>
      <c r="K92" s="14"/>
      <c r="L92" s="14"/>
      <c r="M92" s="14"/>
      <c r="N92" s="14"/>
      <c r="O92" s="14"/>
      <c r="P92" s="8"/>
      <c r="Q92" s="8"/>
      <c r="R92" s="14"/>
      <c r="S92" s="14"/>
      <c r="T92" s="10"/>
      <c r="U92" s="25"/>
      <c r="V92" s="25"/>
    </row>
    <row r="93" spans="1:22" x14ac:dyDescent="0.3">
      <c r="A93" s="8"/>
      <c r="B93" s="22"/>
      <c r="C93" s="14"/>
      <c r="D93" s="14"/>
      <c r="E93" s="8"/>
      <c r="F93" s="8"/>
      <c r="G93" s="14"/>
      <c r="H93" s="14"/>
      <c r="I93" s="14"/>
      <c r="J93" s="14"/>
      <c r="K93" s="14"/>
      <c r="L93" s="14"/>
      <c r="M93" s="14"/>
      <c r="N93" s="14"/>
      <c r="O93" s="14"/>
      <c r="P93" s="8"/>
      <c r="Q93" s="8"/>
      <c r="R93" s="14"/>
      <c r="S93" s="14"/>
      <c r="T93" s="10"/>
      <c r="U93" s="25"/>
      <c r="V93" s="25"/>
    </row>
    <row r="94" spans="1:22" x14ac:dyDescent="0.3">
      <c r="A94" s="8"/>
      <c r="B94" s="22"/>
      <c r="C94" s="14"/>
      <c r="D94" s="14"/>
      <c r="E94" s="8"/>
      <c r="F94" s="8"/>
      <c r="G94" s="14"/>
      <c r="H94" s="14"/>
      <c r="I94" s="14"/>
      <c r="J94" s="14"/>
      <c r="K94" s="14"/>
      <c r="L94" s="14"/>
      <c r="M94" s="14"/>
      <c r="N94" s="14"/>
      <c r="O94" s="14"/>
      <c r="P94" s="8"/>
      <c r="Q94" s="8"/>
      <c r="R94" s="14"/>
      <c r="S94" s="14"/>
      <c r="T94" s="10"/>
      <c r="U94" s="25"/>
      <c r="V94" s="25"/>
    </row>
    <row r="95" spans="1:22" x14ac:dyDescent="0.3">
      <c r="A95" s="8"/>
      <c r="B95" s="22"/>
      <c r="C95" s="14"/>
      <c r="D95" s="14"/>
      <c r="E95" s="8"/>
      <c r="F95" s="8"/>
      <c r="G95" s="14"/>
      <c r="H95" s="14"/>
      <c r="I95" s="14"/>
      <c r="J95" s="14"/>
      <c r="K95" s="14"/>
      <c r="L95" s="14"/>
      <c r="M95" s="14"/>
      <c r="N95" s="14"/>
      <c r="O95" s="14"/>
      <c r="P95" s="8"/>
      <c r="Q95" s="8"/>
      <c r="R95" s="14"/>
      <c r="S95" s="14"/>
      <c r="T95" s="10"/>
      <c r="U95" s="25"/>
      <c r="V95" s="25"/>
    </row>
    <row r="96" spans="1:22" x14ac:dyDescent="0.3">
      <c r="A96" s="8"/>
      <c r="B96" s="22"/>
      <c r="C96" s="14"/>
      <c r="D96" s="14"/>
      <c r="E96" s="8"/>
      <c r="F96" s="8"/>
      <c r="G96" s="14"/>
      <c r="H96" s="14"/>
      <c r="I96" s="14"/>
      <c r="J96" s="14"/>
      <c r="K96" s="14"/>
      <c r="L96" s="14"/>
      <c r="M96" s="14"/>
      <c r="N96" s="14"/>
      <c r="O96" s="14"/>
      <c r="P96" s="8"/>
      <c r="Q96" s="8"/>
      <c r="R96" s="14"/>
      <c r="S96" s="14"/>
      <c r="T96" s="10"/>
      <c r="U96" s="25"/>
      <c r="V96" s="25"/>
    </row>
    <row r="97" spans="1:22" x14ac:dyDescent="0.3">
      <c r="A97" s="8"/>
      <c r="B97" s="22"/>
      <c r="C97" s="14"/>
      <c r="D97" s="14"/>
      <c r="E97" s="8"/>
      <c r="F97" s="8"/>
      <c r="G97" s="14"/>
      <c r="H97" s="14"/>
      <c r="I97" s="14"/>
      <c r="J97" s="14"/>
      <c r="K97" s="14"/>
      <c r="L97" s="14"/>
      <c r="M97" s="14"/>
      <c r="N97" s="14"/>
      <c r="O97" s="14"/>
      <c r="P97" s="8"/>
      <c r="Q97" s="8"/>
      <c r="R97" s="14"/>
      <c r="S97" s="14"/>
      <c r="T97" s="10"/>
      <c r="U97" s="25"/>
      <c r="V97" s="25"/>
    </row>
    <row r="98" spans="1:22" x14ac:dyDescent="0.3">
      <c r="A98" s="8"/>
      <c r="B98" s="22"/>
      <c r="C98" s="14"/>
      <c r="D98" s="14"/>
      <c r="E98" s="8"/>
      <c r="F98" s="8"/>
      <c r="G98" s="14"/>
      <c r="H98" s="14"/>
      <c r="I98" s="14"/>
      <c r="J98" s="14"/>
      <c r="K98" s="14"/>
      <c r="L98" s="14"/>
      <c r="M98" s="14"/>
      <c r="N98" s="14"/>
      <c r="O98" s="14"/>
      <c r="P98" s="8"/>
      <c r="Q98" s="8"/>
      <c r="R98" s="14"/>
      <c r="S98" s="14"/>
      <c r="T98" s="10"/>
      <c r="U98" s="25"/>
      <c r="V98" s="25"/>
    </row>
    <row r="99" spans="1:22" x14ac:dyDescent="0.3">
      <c r="A99" s="8"/>
      <c r="B99" s="22"/>
      <c r="C99" s="14"/>
      <c r="D99" s="14"/>
      <c r="E99" s="8"/>
      <c r="F99" s="8"/>
      <c r="G99" s="14"/>
      <c r="H99" s="14"/>
      <c r="I99" s="14"/>
      <c r="J99" s="14"/>
      <c r="K99" s="14"/>
      <c r="L99" s="14"/>
      <c r="M99" s="14"/>
      <c r="N99" s="14"/>
      <c r="O99" s="14"/>
      <c r="P99" s="8"/>
      <c r="Q99" s="8"/>
      <c r="R99" s="14"/>
      <c r="S99" s="14"/>
      <c r="T99" s="10"/>
      <c r="U99" s="25"/>
      <c r="V99" s="25"/>
    </row>
    <row r="100" spans="1:22" x14ac:dyDescent="0.3">
      <c r="A100" s="8"/>
      <c r="B100" s="22"/>
      <c r="C100" s="14"/>
      <c r="D100" s="14"/>
      <c r="E100" s="8"/>
      <c r="F100" s="8"/>
      <c r="G100" s="14"/>
      <c r="H100" s="14"/>
      <c r="I100" s="14"/>
      <c r="J100" s="14"/>
      <c r="K100" s="14"/>
      <c r="L100" s="14"/>
      <c r="M100" s="14"/>
      <c r="N100" s="14"/>
      <c r="O100" s="14"/>
      <c r="P100" s="8"/>
      <c r="Q100" s="8"/>
      <c r="R100" s="14"/>
      <c r="S100" s="14"/>
      <c r="T100" s="10"/>
      <c r="U100" s="25"/>
      <c r="V100" s="25"/>
    </row>
    <row r="101" spans="1:22" x14ac:dyDescent="0.3">
      <c r="A101" s="8"/>
      <c r="B101" s="22"/>
      <c r="C101" s="14"/>
      <c r="D101" s="14"/>
      <c r="E101" s="8"/>
      <c r="F101" s="8"/>
      <c r="G101" s="14"/>
      <c r="H101" s="14"/>
      <c r="I101" s="14"/>
      <c r="J101" s="14"/>
      <c r="K101" s="14"/>
      <c r="L101" s="14"/>
      <c r="M101" s="14"/>
      <c r="N101" s="14"/>
      <c r="O101" s="14"/>
      <c r="P101" s="8"/>
      <c r="Q101" s="8"/>
      <c r="R101" s="14"/>
      <c r="S101" s="14"/>
      <c r="T101" s="10"/>
      <c r="U101" s="25"/>
      <c r="V101" s="25"/>
    </row>
    <row r="102" spans="1:22" x14ac:dyDescent="0.3">
      <c r="A102" s="8"/>
      <c r="B102" s="22"/>
      <c r="C102" s="14"/>
      <c r="D102" s="14"/>
      <c r="E102" s="8"/>
      <c r="F102" s="8"/>
      <c r="G102" s="14"/>
      <c r="H102" s="14"/>
      <c r="I102" s="14"/>
      <c r="J102" s="14"/>
      <c r="K102" s="14"/>
      <c r="L102" s="14"/>
      <c r="M102" s="14"/>
      <c r="N102" s="14"/>
      <c r="O102" s="14"/>
      <c r="P102" s="8"/>
      <c r="Q102" s="8"/>
      <c r="R102" s="14"/>
      <c r="S102" s="14"/>
      <c r="T102" s="10"/>
      <c r="U102" s="25"/>
      <c r="V102" s="25"/>
    </row>
    <row r="103" spans="1:22" x14ac:dyDescent="0.3">
      <c r="A103" s="8"/>
      <c r="B103" s="22"/>
      <c r="C103" s="14"/>
      <c r="D103" s="14"/>
      <c r="E103" s="8"/>
      <c r="F103" s="8"/>
      <c r="G103" s="14"/>
      <c r="H103" s="14"/>
      <c r="I103" s="14"/>
      <c r="J103" s="14"/>
      <c r="K103" s="14"/>
      <c r="L103" s="14"/>
      <c r="M103" s="14"/>
      <c r="N103" s="14"/>
      <c r="O103" s="14"/>
      <c r="P103" s="8"/>
      <c r="Q103" s="8"/>
      <c r="R103" s="14"/>
      <c r="S103" s="14"/>
      <c r="T103" s="10"/>
      <c r="U103" s="25"/>
      <c r="V103" s="25"/>
    </row>
    <row r="104" spans="1:22" x14ac:dyDescent="0.3">
      <c r="A104" s="8"/>
      <c r="B104" s="22"/>
      <c r="C104" s="14"/>
      <c r="D104" s="14"/>
      <c r="E104" s="8"/>
      <c r="F104" s="8"/>
      <c r="G104" s="14"/>
      <c r="H104" s="14"/>
      <c r="I104" s="14"/>
      <c r="J104" s="14"/>
      <c r="K104" s="14"/>
      <c r="L104" s="14"/>
      <c r="M104" s="14"/>
      <c r="N104" s="14"/>
      <c r="O104" s="14"/>
      <c r="P104" s="8"/>
      <c r="Q104" s="8"/>
      <c r="R104" s="14"/>
      <c r="S104" s="14"/>
      <c r="T104" s="10"/>
      <c r="U104" s="25"/>
      <c r="V104" s="25"/>
    </row>
    <row r="105" spans="1:22" x14ac:dyDescent="0.3">
      <c r="A105" s="8"/>
      <c r="B105" s="22"/>
      <c r="C105" s="14"/>
      <c r="D105" s="14"/>
      <c r="E105" s="8"/>
      <c r="F105" s="8"/>
      <c r="G105" s="14"/>
      <c r="H105" s="14"/>
      <c r="I105" s="14"/>
      <c r="J105" s="14"/>
      <c r="K105" s="14"/>
      <c r="L105" s="14"/>
      <c r="M105" s="14"/>
      <c r="N105" s="14"/>
      <c r="O105" s="14"/>
      <c r="P105" s="8"/>
      <c r="Q105" s="8"/>
      <c r="R105" s="14"/>
      <c r="S105" s="14"/>
      <c r="T105" s="10"/>
      <c r="U105" s="25"/>
      <c r="V105" s="25"/>
    </row>
  </sheetData>
  <mergeCells count="11">
    <mergeCell ref="T1:T3"/>
    <mergeCell ref="U1:U3"/>
    <mergeCell ref="V1:V3"/>
    <mergeCell ref="A1:A3"/>
    <mergeCell ref="B1:B3"/>
    <mergeCell ref="C1:C2"/>
    <mergeCell ref="D1:D2"/>
    <mergeCell ref="R1:R3"/>
    <mergeCell ref="S1:S3"/>
    <mergeCell ref="E1:E2"/>
    <mergeCell ref="F1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2662-3D40-4200-88C4-3211B2F23A89}">
  <dimension ref="A1:X105"/>
  <sheetViews>
    <sheetView workbookViewId="0">
      <selection activeCell="F4" sqref="F4"/>
    </sheetView>
  </sheetViews>
  <sheetFormatPr defaultRowHeight="14.4" x14ac:dyDescent="0.3"/>
  <cols>
    <col min="1" max="1" width="6.77734375" bestFit="1" customWidth="1"/>
    <col min="2" max="2" width="5.5546875" bestFit="1" customWidth="1"/>
    <col min="3" max="3" width="16.44140625" customWidth="1"/>
    <col min="4" max="4" width="17.6640625" customWidth="1"/>
    <col min="5" max="5" width="14.77734375" customWidth="1"/>
    <col min="6" max="6" width="19.109375" customWidth="1"/>
    <col min="7" max="7" width="12.5546875" customWidth="1"/>
    <col min="8" max="8" width="12.88671875" customWidth="1"/>
    <col min="9" max="10" width="12.33203125" customWidth="1"/>
    <col min="11" max="11" width="11.21875" customWidth="1"/>
    <col min="12" max="12" width="11.109375" customWidth="1"/>
    <col min="13" max="13" width="10.33203125" customWidth="1"/>
    <col min="14" max="14" width="22.109375" bestFit="1" customWidth="1"/>
    <col min="15" max="17" width="12.33203125" customWidth="1"/>
    <col min="18" max="19" width="10.33203125" customWidth="1"/>
    <col min="20" max="20" width="8.5546875" customWidth="1"/>
    <col min="21" max="21" width="16.44140625" customWidth="1"/>
    <col min="22" max="22" width="16.109375" customWidth="1"/>
    <col min="23" max="24" width="26.5546875" customWidth="1"/>
  </cols>
  <sheetData>
    <row r="1" spans="1:24" ht="58.2" thickBot="1" x14ac:dyDescent="0.35">
      <c r="A1" s="236" t="s">
        <v>0</v>
      </c>
      <c r="B1" s="239" t="s">
        <v>22</v>
      </c>
      <c r="C1" s="246" t="s">
        <v>23</v>
      </c>
      <c r="D1" s="246" t="s">
        <v>24</v>
      </c>
      <c r="E1" s="246" t="s">
        <v>42</v>
      </c>
      <c r="F1" s="246" t="s">
        <v>43</v>
      </c>
      <c r="G1" s="154" t="s">
        <v>31</v>
      </c>
      <c r="H1" s="154" t="s">
        <v>30</v>
      </c>
      <c r="I1" s="154" t="s">
        <v>25</v>
      </c>
      <c r="J1" s="154" t="s">
        <v>26</v>
      </c>
      <c r="K1" s="154" t="s">
        <v>27</v>
      </c>
      <c r="L1" s="154" t="s">
        <v>28</v>
      </c>
      <c r="M1" s="170" t="s">
        <v>29</v>
      </c>
      <c r="N1" s="155" t="s">
        <v>34</v>
      </c>
      <c r="O1" s="155" t="s">
        <v>35</v>
      </c>
      <c r="P1" s="155" t="s">
        <v>44</v>
      </c>
      <c r="Q1" s="175" t="s">
        <v>41</v>
      </c>
      <c r="R1" s="236" t="s">
        <v>37</v>
      </c>
      <c r="S1" s="236" t="s">
        <v>36</v>
      </c>
      <c r="T1" s="236" t="s">
        <v>33</v>
      </c>
      <c r="U1" s="236" t="s">
        <v>38</v>
      </c>
      <c r="V1" s="236" t="s">
        <v>39</v>
      </c>
      <c r="W1" s="1"/>
      <c r="X1" s="1"/>
    </row>
    <row r="2" spans="1:24" ht="29.4" thickBot="1" x14ac:dyDescent="0.35">
      <c r="A2" s="237"/>
      <c r="B2" s="240"/>
      <c r="C2" s="254"/>
      <c r="D2" s="254"/>
      <c r="E2" s="254"/>
      <c r="F2" s="254"/>
      <c r="G2" s="161" t="s">
        <v>32</v>
      </c>
      <c r="H2" s="161" t="s">
        <v>32</v>
      </c>
      <c r="I2" s="161" t="s">
        <v>32</v>
      </c>
      <c r="J2" s="161" t="s">
        <v>32</v>
      </c>
      <c r="K2" s="161" t="s">
        <v>32</v>
      </c>
      <c r="L2" s="161" t="s">
        <v>32</v>
      </c>
      <c r="M2" s="164" t="s">
        <v>32</v>
      </c>
      <c r="N2" s="161" t="s">
        <v>17</v>
      </c>
      <c r="O2" s="161" t="s">
        <v>17</v>
      </c>
      <c r="P2" s="161" t="s">
        <v>17</v>
      </c>
      <c r="Q2" s="161" t="s">
        <v>17</v>
      </c>
      <c r="R2" s="237"/>
      <c r="S2" s="237"/>
      <c r="T2" s="237"/>
      <c r="U2" s="237"/>
      <c r="V2" s="237"/>
      <c r="W2" s="1"/>
      <c r="X2" s="1"/>
    </row>
    <row r="3" spans="1:24" ht="15" thickBot="1" x14ac:dyDescent="0.35">
      <c r="A3" s="238"/>
      <c r="B3" s="255"/>
      <c r="C3" s="160">
        <v>15</v>
      </c>
      <c r="D3" s="160">
        <v>30</v>
      </c>
      <c r="E3" s="160">
        <v>18</v>
      </c>
      <c r="F3" s="169">
        <v>15</v>
      </c>
      <c r="G3" s="160">
        <v>28.25</v>
      </c>
      <c r="H3" s="162">
        <v>35.28</v>
      </c>
      <c r="I3" s="162">
        <v>30.75</v>
      </c>
      <c r="J3" s="162">
        <v>25.75</v>
      </c>
      <c r="K3" s="162">
        <v>32</v>
      </c>
      <c r="L3" s="162">
        <v>26.88</v>
      </c>
      <c r="M3" s="165">
        <v>45.25</v>
      </c>
      <c r="N3" s="163">
        <v>0.1</v>
      </c>
      <c r="O3" s="163">
        <v>0.35</v>
      </c>
      <c r="P3" s="163">
        <v>0.1</v>
      </c>
      <c r="Q3" s="163">
        <v>0.1</v>
      </c>
      <c r="R3" s="238"/>
      <c r="S3" s="238"/>
      <c r="T3" s="238"/>
      <c r="U3" s="238"/>
      <c r="V3" s="238"/>
      <c r="W3" s="9"/>
      <c r="X3" s="9"/>
    </row>
    <row r="4" spans="1:24" ht="31.2" customHeight="1" x14ac:dyDescent="0.3">
      <c r="A4" s="147" cm="1">
        <f t="array" ref="A4:A53">_xlfn.SEQUENCE(50)</f>
        <v>1</v>
      </c>
      <c r="B4" s="148">
        <v>1</v>
      </c>
      <c r="C4" s="46">
        <f>B4*$C$3</f>
        <v>15</v>
      </c>
      <c r="D4" s="46">
        <f t="shared" ref="D4:D35" si="0">B4*$D$3</f>
        <v>30</v>
      </c>
      <c r="E4" s="46">
        <f>B6*$E$3</f>
        <v>54</v>
      </c>
      <c r="F4" s="46">
        <f t="shared" ref="F4:F35" si="1">B4*$F$3</f>
        <v>15</v>
      </c>
      <c r="G4" s="46">
        <f>32+$G$3</f>
        <v>60.25</v>
      </c>
      <c r="H4" s="46">
        <f>36.61+$H$3</f>
        <v>71.89</v>
      </c>
      <c r="I4" s="46">
        <f>33.25+$I$3</f>
        <v>64</v>
      </c>
      <c r="J4" s="46">
        <f>28.25+$J$3</f>
        <v>54</v>
      </c>
      <c r="K4" s="46">
        <f>35.75+ $K$3</f>
        <v>67.75</v>
      </c>
      <c r="L4" s="46">
        <f>29.5+$L$3</f>
        <v>56.379999999999995</v>
      </c>
      <c r="M4" s="46">
        <f>45.25 + $M$3</f>
        <v>90.5</v>
      </c>
      <c r="N4" s="46">
        <f>C4 + $N$3*C4</f>
        <v>16.5</v>
      </c>
      <c r="O4" s="46">
        <f t="shared" ref="O4:O35" si="2">D4 + $O$3*D4</f>
        <v>40.5</v>
      </c>
      <c r="P4" s="46">
        <f t="shared" ref="P4:P35" si="3">E4 + $P$3*E4</f>
        <v>59.4</v>
      </c>
      <c r="Q4" s="46">
        <f t="shared" ref="Q4:Q35" si="4">F4 + $Q$3*F4</f>
        <v>16.5</v>
      </c>
      <c r="R4" s="149">
        <f>MAX(N4:Q4)</f>
        <v>59.4</v>
      </c>
      <c r="S4" s="150">
        <f>MIN(N4:Q4)</f>
        <v>16.5</v>
      </c>
      <c r="T4" s="151">
        <f>R4 - S4</f>
        <v>42.9</v>
      </c>
      <c r="U4" s="152" t="str">
        <f>INDEX($C$1:$M$1, MATCH(MIN(C6:M6), C6:M6, 0))</f>
        <v>PROFESSIONAL PER KG</v>
      </c>
      <c r="V4" s="153" t="str">
        <f>INDEX($N$1:$Q$1, MATCH(MAX(N6:Q6), N6:Q6,0))</f>
        <v>ANJANI COURIER SERVICE</v>
      </c>
    </row>
    <row r="5" spans="1:24" x14ac:dyDescent="0.3">
      <c r="A5" s="142">
        <v>2</v>
      </c>
      <c r="B5" s="16">
        <f>B4 + 1</f>
        <v>2</v>
      </c>
      <c r="C5" s="13">
        <f>B5*$C$3</f>
        <v>30</v>
      </c>
      <c r="D5" s="13">
        <f t="shared" si="0"/>
        <v>60</v>
      </c>
      <c r="E5" s="13">
        <f>B6*$E$3</f>
        <v>54</v>
      </c>
      <c r="F5" s="13">
        <f t="shared" si="1"/>
        <v>30</v>
      </c>
      <c r="G5" s="13">
        <f>SUM(G4, $G$3*2)</f>
        <v>116.75</v>
      </c>
      <c r="H5" s="13">
        <f>SUM(H4, $H$3*2)</f>
        <v>142.44999999999999</v>
      </c>
      <c r="I5" s="13">
        <f>SUM(I4, $I$3*2)</f>
        <v>125.5</v>
      </c>
      <c r="J5" s="13">
        <f>SUM(J4, $J$3*2)</f>
        <v>105.5</v>
      </c>
      <c r="K5" s="13">
        <f>SUM(K4, $K$3*2)</f>
        <v>131.75</v>
      </c>
      <c r="L5" s="13">
        <f>SUM(L4, $L$3*2)</f>
        <v>110.13999999999999</v>
      </c>
      <c r="M5" s="13">
        <f>SUM(M4, $M$3*2)</f>
        <v>181</v>
      </c>
      <c r="N5" s="13">
        <f t="shared" ref="N5:N53" si="5">C5 + $N$3*C5</f>
        <v>33</v>
      </c>
      <c r="O5" s="13">
        <f t="shared" si="2"/>
        <v>81</v>
      </c>
      <c r="P5" s="13">
        <f t="shared" si="3"/>
        <v>59.4</v>
      </c>
      <c r="Q5" s="13">
        <f t="shared" si="4"/>
        <v>33</v>
      </c>
      <c r="R5" s="13">
        <f t="shared" ref="R5:R36" si="6">MAX(N5, O5, G5:Q5)</f>
        <v>181</v>
      </c>
      <c r="S5" s="13">
        <f t="shared" ref="S5:S36" si="7">MIN(N5, O5, G5:Q5)</f>
        <v>33</v>
      </c>
      <c r="T5" s="11">
        <f t="shared" ref="T5:T53" si="8">R5 - S5</f>
        <v>148</v>
      </c>
      <c r="U5" s="2"/>
      <c r="V5" s="3"/>
    </row>
    <row r="6" spans="1:24" x14ac:dyDescent="0.3">
      <c r="A6" s="142">
        <v>3</v>
      </c>
      <c r="B6" s="16">
        <f t="shared" ref="B6:B53" si="9">B5 + 1</f>
        <v>3</v>
      </c>
      <c r="C6" s="13">
        <f t="shared" ref="C6:C53" si="10">B6*$C$3</f>
        <v>45</v>
      </c>
      <c r="D6" s="12">
        <f t="shared" si="0"/>
        <v>90</v>
      </c>
      <c r="E6" s="13">
        <f t="shared" ref="E6:E35" si="11">B6*$E$3</f>
        <v>54</v>
      </c>
      <c r="F6" s="13">
        <f t="shared" si="1"/>
        <v>45</v>
      </c>
      <c r="G6" s="13">
        <f t="shared" ref="G6:G53" si="12">SUM(G5, $G$3*2)</f>
        <v>173.25</v>
      </c>
      <c r="H6" s="13">
        <f t="shared" ref="H6:H53" si="13">SUM(H5, $H$3*2)</f>
        <v>213.01</v>
      </c>
      <c r="I6" s="13">
        <f t="shared" ref="I6:I53" si="14">SUM(I5, $I$3*2)</f>
        <v>187</v>
      </c>
      <c r="J6" s="13">
        <f t="shared" ref="J6:J53" si="15">SUM(J5, $J$3*2)</f>
        <v>157</v>
      </c>
      <c r="K6" s="13">
        <f t="shared" ref="K6:K53" si="16">SUM(K5, $K$3*2)</f>
        <v>195.75</v>
      </c>
      <c r="L6" s="13">
        <f t="shared" ref="L6:L53" si="17">SUM(L5, $L$3*2)</f>
        <v>163.89999999999998</v>
      </c>
      <c r="M6" s="13">
        <f t="shared" ref="M6:M53" si="18">SUM(M5, $M$3*2)</f>
        <v>271.5</v>
      </c>
      <c r="N6" s="13">
        <f t="shared" si="5"/>
        <v>49.5</v>
      </c>
      <c r="O6" s="12">
        <f t="shared" si="2"/>
        <v>121.5</v>
      </c>
      <c r="P6" s="13">
        <f t="shared" si="3"/>
        <v>59.4</v>
      </c>
      <c r="Q6" s="13">
        <f t="shared" si="4"/>
        <v>49.5</v>
      </c>
      <c r="R6" s="13">
        <f t="shared" si="6"/>
        <v>271.5</v>
      </c>
      <c r="S6" s="13">
        <f t="shared" si="7"/>
        <v>49.5</v>
      </c>
      <c r="T6" s="11">
        <f t="shared" si="8"/>
        <v>222</v>
      </c>
      <c r="U6" s="2"/>
      <c r="V6" s="3"/>
    </row>
    <row r="7" spans="1:24" x14ac:dyDescent="0.3">
      <c r="A7" s="142">
        <v>4</v>
      </c>
      <c r="B7" s="16">
        <f t="shared" si="9"/>
        <v>4</v>
      </c>
      <c r="C7" s="13">
        <f t="shared" si="10"/>
        <v>60</v>
      </c>
      <c r="D7" s="12">
        <f t="shared" si="0"/>
        <v>120</v>
      </c>
      <c r="E7" s="13">
        <f>B7*$E$3</f>
        <v>72</v>
      </c>
      <c r="F7" s="13">
        <f t="shared" si="1"/>
        <v>60</v>
      </c>
      <c r="G7" s="13">
        <f t="shared" si="12"/>
        <v>229.75</v>
      </c>
      <c r="H7" s="13">
        <f t="shared" si="13"/>
        <v>283.57</v>
      </c>
      <c r="I7" s="13">
        <f t="shared" si="14"/>
        <v>248.5</v>
      </c>
      <c r="J7" s="13">
        <f t="shared" si="15"/>
        <v>208.5</v>
      </c>
      <c r="K7" s="13">
        <f t="shared" si="16"/>
        <v>259.75</v>
      </c>
      <c r="L7" s="13">
        <f t="shared" si="17"/>
        <v>217.65999999999997</v>
      </c>
      <c r="M7" s="13">
        <f t="shared" si="18"/>
        <v>362</v>
      </c>
      <c r="N7" s="13">
        <f t="shared" si="5"/>
        <v>66</v>
      </c>
      <c r="O7" s="12">
        <f t="shared" si="2"/>
        <v>162</v>
      </c>
      <c r="P7" s="13">
        <f t="shared" si="3"/>
        <v>79.2</v>
      </c>
      <c r="Q7" s="13">
        <f t="shared" si="4"/>
        <v>66</v>
      </c>
      <c r="R7" s="13">
        <f t="shared" si="6"/>
        <v>362</v>
      </c>
      <c r="S7" s="13">
        <f t="shared" si="7"/>
        <v>66</v>
      </c>
      <c r="T7" s="11">
        <f t="shared" si="8"/>
        <v>296</v>
      </c>
      <c r="U7" s="2"/>
      <c r="V7" s="3"/>
    </row>
    <row r="8" spans="1:24" x14ac:dyDescent="0.3">
      <c r="A8" s="142">
        <v>5</v>
      </c>
      <c r="B8" s="16">
        <f t="shared" si="9"/>
        <v>5</v>
      </c>
      <c r="C8" s="13">
        <f t="shared" si="10"/>
        <v>75</v>
      </c>
      <c r="D8" s="12">
        <f t="shared" si="0"/>
        <v>150</v>
      </c>
      <c r="E8" s="13">
        <f>B8*$E$3</f>
        <v>90</v>
      </c>
      <c r="F8" s="13">
        <f t="shared" si="1"/>
        <v>75</v>
      </c>
      <c r="G8" s="13">
        <f t="shared" si="12"/>
        <v>286.25</v>
      </c>
      <c r="H8" s="13">
        <f t="shared" si="13"/>
        <v>354.13</v>
      </c>
      <c r="I8" s="13">
        <f t="shared" si="14"/>
        <v>310</v>
      </c>
      <c r="J8" s="13">
        <f t="shared" si="15"/>
        <v>260</v>
      </c>
      <c r="K8" s="13">
        <f t="shared" si="16"/>
        <v>323.75</v>
      </c>
      <c r="L8" s="13">
        <f t="shared" si="17"/>
        <v>271.41999999999996</v>
      </c>
      <c r="M8" s="13">
        <f t="shared" si="18"/>
        <v>452.5</v>
      </c>
      <c r="N8" s="13">
        <f t="shared" si="5"/>
        <v>82.5</v>
      </c>
      <c r="O8" s="12">
        <f t="shared" si="2"/>
        <v>202.5</v>
      </c>
      <c r="P8" s="13">
        <f t="shared" si="3"/>
        <v>99</v>
      </c>
      <c r="Q8" s="13">
        <f t="shared" si="4"/>
        <v>82.5</v>
      </c>
      <c r="R8" s="13">
        <f t="shared" si="6"/>
        <v>452.5</v>
      </c>
      <c r="S8" s="13">
        <f t="shared" si="7"/>
        <v>82.5</v>
      </c>
      <c r="T8" s="11">
        <f t="shared" si="8"/>
        <v>370</v>
      </c>
      <c r="U8" s="2"/>
      <c r="V8" s="3"/>
    </row>
    <row r="9" spans="1:24" x14ac:dyDescent="0.3">
      <c r="A9" s="142">
        <v>6</v>
      </c>
      <c r="B9" s="16">
        <f t="shared" si="9"/>
        <v>6</v>
      </c>
      <c r="C9" s="13">
        <f t="shared" si="10"/>
        <v>90</v>
      </c>
      <c r="D9" s="12">
        <f t="shared" si="0"/>
        <v>180</v>
      </c>
      <c r="E9" s="13">
        <f t="shared" si="11"/>
        <v>108</v>
      </c>
      <c r="F9" s="13">
        <f t="shared" si="1"/>
        <v>90</v>
      </c>
      <c r="G9" s="13">
        <f t="shared" si="12"/>
        <v>342.75</v>
      </c>
      <c r="H9" s="13">
        <f t="shared" si="13"/>
        <v>424.69</v>
      </c>
      <c r="I9" s="13">
        <f t="shared" si="14"/>
        <v>371.5</v>
      </c>
      <c r="J9" s="13">
        <f t="shared" si="15"/>
        <v>311.5</v>
      </c>
      <c r="K9" s="13">
        <f t="shared" si="16"/>
        <v>387.75</v>
      </c>
      <c r="L9" s="13">
        <f t="shared" si="17"/>
        <v>325.17999999999995</v>
      </c>
      <c r="M9" s="13">
        <f t="shared" si="18"/>
        <v>543</v>
      </c>
      <c r="N9" s="13">
        <f t="shared" si="5"/>
        <v>99</v>
      </c>
      <c r="O9" s="12">
        <f t="shared" si="2"/>
        <v>243</v>
      </c>
      <c r="P9" s="13">
        <f t="shared" si="3"/>
        <v>118.8</v>
      </c>
      <c r="Q9" s="13">
        <f t="shared" si="4"/>
        <v>99</v>
      </c>
      <c r="R9" s="13">
        <f t="shared" si="6"/>
        <v>543</v>
      </c>
      <c r="S9" s="13">
        <f t="shared" si="7"/>
        <v>99</v>
      </c>
      <c r="T9" s="11">
        <f t="shared" si="8"/>
        <v>444</v>
      </c>
      <c r="U9" s="2"/>
      <c r="V9" s="3"/>
    </row>
    <row r="10" spans="1:24" x14ac:dyDescent="0.3">
      <c r="A10" s="142">
        <v>7</v>
      </c>
      <c r="B10" s="16">
        <f t="shared" si="9"/>
        <v>7</v>
      </c>
      <c r="C10" s="13">
        <f t="shared" si="10"/>
        <v>105</v>
      </c>
      <c r="D10" s="12">
        <f t="shared" si="0"/>
        <v>210</v>
      </c>
      <c r="E10" s="13">
        <f t="shared" si="11"/>
        <v>126</v>
      </c>
      <c r="F10" s="13">
        <f t="shared" si="1"/>
        <v>105</v>
      </c>
      <c r="G10" s="13">
        <f t="shared" si="12"/>
        <v>399.25</v>
      </c>
      <c r="H10" s="13">
        <f t="shared" si="13"/>
        <v>495.25</v>
      </c>
      <c r="I10" s="13">
        <f t="shared" si="14"/>
        <v>433</v>
      </c>
      <c r="J10" s="13">
        <f t="shared" si="15"/>
        <v>363</v>
      </c>
      <c r="K10" s="13">
        <f t="shared" si="16"/>
        <v>451.75</v>
      </c>
      <c r="L10" s="13">
        <f t="shared" si="17"/>
        <v>378.93999999999994</v>
      </c>
      <c r="M10" s="13">
        <f t="shared" si="18"/>
        <v>633.5</v>
      </c>
      <c r="N10" s="13">
        <f t="shared" si="5"/>
        <v>115.5</v>
      </c>
      <c r="O10" s="12">
        <f t="shared" si="2"/>
        <v>283.5</v>
      </c>
      <c r="P10" s="13">
        <f t="shared" si="3"/>
        <v>138.6</v>
      </c>
      <c r="Q10" s="13">
        <f t="shared" si="4"/>
        <v>115.5</v>
      </c>
      <c r="R10" s="13">
        <f t="shared" si="6"/>
        <v>633.5</v>
      </c>
      <c r="S10" s="13">
        <f t="shared" si="7"/>
        <v>115.5</v>
      </c>
      <c r="T10" s="11">
        <f t="shared" si="8"/>
        <v>518</v>
      </c>
      <c r="U10" s="2"/>
      <c r="V10" s="3"/>
    </row>
    <row r="11" spans="1:24" x14ac:dyDescent="0.3">
      <c r="A11" s="142">
        <v>8</v>
      </c>
      <c r="B11" s="16">
        <f t="shared" si="9"/>
        <v>8</v>
      </c>
      <c r="C11" s="13">
        <f t="shared" si="10"/>
        <v>120</v>
      </c>
      <c r="D11" s="12">
        <f t="shared" si="0"/>
        <v>240</v>
      </c>
      <c r="E11" s="13">
        <f t="shared" si="11"/>
        <v>144</v>
      </c>
      <c r="F11" s="13">
        <f t="shared" si="1"/>
        <v>120</v>
      </c>
      <c r="G11" s="13">
        <f t="shared" si="12"/>
        <v>455.75</v>
      </c>
      <c r="H11" s="13">
        <f t="shared" si="13"/>
        <v>565.80999999999995</v>
      </c>
      <c r="I11" s="13">
        <f t="shared" si="14"/>
        <v>494.5</v>
      </c>
      <c r="J11" s="13">
        <f t="shared" si="15"/>
        <v>414.5</v>
      </c>
      <c r="K11" s="13">
        <f t="shared" si="16"/>
        <v>515.75</v>
      </c>
      <c r="L11" s="13">
        <f t="shared" si="17"/>
        <v>432.69999999999993</v>
      </c>
      <c r="M11" s="13">
        <f t="shared" si="18"/>
        <v>724</v>
      </c>
      <c r="N11" s="13">
        <f t="shared" si="5"/>
        <v>132</v>
      </c>
      <c r="O11" s="12">
        <f t="shared" si="2"/>
        <v>324</v>
      </c>
      <c r="P11" s="13">
        <f t="shared" si="3"/>
        <v>158.4</v>
      </c>
      <c r="Q11" s="13">
        <f t="shared" si="4"/>
        <v>132</v>
      </c>
      <c r="R11" s="13">
        <f t="shared" si="6"/>
        <v>724</v>
      </c>
      <c r="S11" s="13">
        <f t="shared" si="7"/>
        <v>132</v>
      </c>
      <c r="T11" s="11">
        <f t="shared" si="8"/>
        <v>592</v>
      </c>
      <c r="U11" s="2"/>
      <c r="V11" s="3"/>
    </row>
    <row r="12" spans="1:24" x14ac:dyDescent="0.3">
      <c r="A12" s="142">
        <v>9</v>
      </c>
      <c r="B12" s="16">
        <f t="shared" si="9"/>
        <v>9</v>
      </c>
      <c r="C12" s="13">
        <f t="shared" si="10"/>
        <v>135</v>
      </c>
      <c r="D12" s="12">
        <f t="shared" si="0"/>
        <v>270</v>
      </c>
      <c r="E12" s="13">
        <f t="shared" si="11"/>
        <v>162</v>
      </c>
      <c r="F12" s="13">
        <f t="shared" si="1"/>
        <v>135</v>
      </c>
      <c r="G12" s="13">
        <f t="shared" si="12"/>
        <v>512.25</v>
      </c>
      <c r="H12" s="13">
        <f t="shared" si="13"/>
        <v>636.36999999999989</v>
      </c>
      <c r="I12" s="13">
        <f t="shared" si="14"/>
        <v>556</v>
      </c>
      <c r="J12" s="13">
        <f t="shared" si="15"/>
        <v>466</v>
      </c>
      <c r="K12" s="13">
        <f t="shared" si="16"/>
        <v>579.75</v>
      </c>
      <c r="L12" s="13">
        <f t="shared" si="17"/>
        <v>486.45999999999992</v>
      </c>
      <c r="M12" s="13">
        <f t="shared" si="18"/>
        <v>814.5</v>
      </c>
      <c r="N12" s="13">
        <f t="shared" si="5"/>
        <v>148.5</v>
      </c>
      <c r="O12" s="12">
        <f t="shared" si="2"/>
        <v>364.5</v>
      </c>
      <c r="P12" s="13">
        <f t="shared" si="3"/>
        <v>178.2</v>
      </c>
      <c r="Q12" s="13">
        <f t="shared" si="4"/>
        <v>148.5</v>
      </c>
      <c r="R12" s="13">
        <f t="shared" si="6"/>
        <v>814.5</v>
      </c>
      <c r="S12" s="13">
        <f t="shared" si="7"/>
        <v>148.5</v>
      </c>
      <c r="T12" s="11">
        <f t="shared" si="8"/>
        <v>666</v>
      </c>
      <c r="U12" s="2"/>
      <c r="V12" s="3"/>
    </row>
    <row r="13" spans="1:24" x14ac:dyDescent="0.3">
      <c r="A13" s="142">
        <v>10</v>
      </c>
      <c r="B13" s="16">
        <f t="shared" si="9"/>
        <v>10</v>
      </c>
      <c r="C13" s="13">
        <f t="shared" si="10"/>
        <v>150</v>
      </c>
      <c r="D13" s="12">
        <f t="shared" si="0"/>
        <v>300</v>
      </c>
      <c r="E13" s="13">
        <f t="shared" si="11"/>
        <v>180</v>
      </c>
      <c r="F13" s="13">
        <f t="shared" si="1"/>
        <v>150</v>
      </c>
      <c r="G13" s="13">
        <f t="shared" si="12"/>
        <v>568.75</v>
      </c>
      <c r="H13" s="13">
        <f t="shared" si="13"/>
        <v>706.92999999999984</v>
      </c>
      <c r="I13" s="13">
        <f t="shared" si="14"/>
        <v>617.5</v>
      </c>
      <c r="J13" s="13">
        <f t="shared" si="15"/>
        <v>517.5</v>
      </c>
      <c r="K13" s="13">
        <f t="shared" si="16"/>
        <v>643.75</v>
      </c>
      <c r="L13" s="13">
        <f t="shared" si="17"/>
        <v>540.21999999999991</v>
      </c>
      <c r="M13" s="13">
        <f t="shared" si="18"/>
        <v>905</v>
      </c>
      <c r="N13" s="13">
        <f t="shared" si="5"/>
        <v>165</v>
      </c>
      <c r="O13" s="12">
        <f t="shared" si="2"/>
        <v>405</v>
      </c>
      <c r="P13" s="13">
        <f t="shared" si="3"/>
        <v>198</v>
      </c>
      <c r="Q13" s="13">
        <f t="shared" si="4"/>
        <v>165</v>
      </c>
      <c r="R13" s="13">
        <f t="shared" si="6"/>
        <v>905</v>
      </c>
      <c r="S13" s="13">
        <f t="shared" si="7"/>
        <v>165</v>
      </c>
      <c r="T13" s="11">
        <f t="shared" si="8"/>
        <v>740</v>
      </c>
      <c r="U13" s="2"/>
      <c r="V13" s="3"/>
    </row>
    <row r="14" spans="1:24" x14ac:dyDescent="0.3">
      <c r="A14" s="142">
        <v>11</v>
      </c>
      <c r="B14" s="16">
        <f t="shared" si="9"/>
        <v>11</v>
      </c>
      <c r="C14" s="13">
        <f t="shared" si="10"/>
        <v>165</v>
      </c>
      <c r="D14" s="12">
        <f t="shared" si="0"/>
        <v>330</v>
      </c>
      <c r="E14" s="13">
        <f t="shared" si="11"/>
        <v>198</v>
      </c>
      <c r="F14" s="13">
        <f t="shared" si="1"/>
        <v>165</v>
      </c>
      <c r="G14" s="13">
        <f t="shared" si="12"/>
        <v>625.25</v>
      </c>
      <c r="H14" s="13">
        <f t="shared" si="13"/>
        <v>777.48999999999978</v>
      </c>
      <c r="I14" s="13">
        <f t="shared" si="14"/>
        <v>679</v>
      </c>
      <c r="J14" s="13">
        <f t="shared" si="15"/>
        <v>569</v>
      </c>
      <c r="K14" s="13">
        <f t="shared" si="16"/>
        <v>707.75</v>
      </c>
      <c r="L14" s="13">
        <f t="shared" si="17"/>
        <v>593.9799999999999</v>
      </c>
      <c r="M14" s="13">
        <f t="shared" si="18"/>
        <v>995.5</v>
      </c>
      <c r="N14" s="13">
        <f t="shared" si="5"/>
        <v>181.5</v>
      </c>
      <c r="O14" s="12">
        <f t="shared" si="2"/>
        <v>445.5</v>
      </c>
      <c r="P14" s="13">
        <f t="shared" si="3"/>
        <v>217.8</v>
      </c>
      <c r="Q14" s="13">
        <f t="shared" si="4"/>
        <v>181.5</v>
      </c>
      <c r="R14" s="13">
        <f t="shared" si="6"/>
        <v>995.5</v>
      </c>
      <c r="S14" s="13">
        <f t="shared" si="7"/>
        <v>181.5</v>
      </c>
      <c r="T14" s="11">
        <f t="shared" si="8"/>
        <v>814</v>
      </c>
      <c r="U14" s="2"/>
      <c r="V14" s="3"/>
    </row>
    <row r="15" spans="1:24" x14ac:dyDescent="0.3">
      <c r="A15" s="142">
        <v>12</v>
      </c>
      <c r="B15" s="16">
        <f t="shared" si="9"/>
        <v>12</v>
      </c>
      <c r="C15" s="13">
        <f t="shared" si="10"/>
        <v>180</v>
      </c>
      <c r="D15" s="12">
        <f t="shared" si="0"/>
        <v>360</v>
      </c>
      <c r="E15" s="13">
        <f t="shared" si="11"/>
        <v>216</v>
      </c>
      <c r="F15" s="13">
        <f t="shared" si="1"/>
        <v>180</v>
      </c>
      <c r="G15" s="13">
        <f t="shared" si="12"/>
        <v>681.75</v>
      </c>
      <c r="H15" s="13">
        <f t="shared" si="13"/>
        <v>848.04999999999973</v>
      </c>
      <c r="I15" s="13">
        <f t="shared" si="14"/>
        <v>740.5</v>
      </c>
      <c r="J15" s="13">
        <f t="shared" si="15"/>
        <v>620.5</v>
      </c>
      <c r="K15" s="13">
        <f t="shared" si="16"/>
        <v>771.75</v>
      </c>
      <c r="L15" s="13">
        <f t="shared" si="17"/>
        <v>647.7399999999999</v>
      </c>
      <c r="M15" s="13">
        <f t="shared" si="18"/>
        <v>1086</v>
      </c>
      <c r="N15" s="13">
        <f t="shared" si="5"/>
        <v>198</v>
      </c>
      <c r="O15" s="12">
        <f t="shared" si="2"/>
        <v>486</v>
      </c>
      <c r="P15" s="13">
        <f t="shared" si="3"/>
        <v>237.6</v>
      </c>
      <c r="Q15" s="13">
        <f t="shared" si="4"/>
        <v>198</v>
      </c>
      <c r="R15" s="13">
        <f t="shared" si="6"/>
        <v>1086</v>
      </c>
      <c r="S15" s="13">
        <f t="shared" si="7"/>
        <v>198</v>
      </c>
      <c r="T15" s="11">
        <f t="shared" si="8"/>
        <v>888</v>
      </c>
      <c r="U15" s="2"/>
      <c r="V15" s="3"/>
    </row>
    <row r="16" spans="1:24" x14ac:dyDescent="0.3">
      <c r="A16" s="142">
        <v>13</v>
      </c>
      <c r="B16" s="16">
        <f t="shared" si="9"/>
        <v>13</v>
      </c>
      <c r="C16" s="13">
        <f t="shared" si="10"/>
        <v>195</v>
      </c>
      <c r="D16" s="12">
        <f t="shared" si="0"/>
        <v>390</v>
      </c>
      <c r="E16" s="13">
        <f t="shared" si="11"/>
        <v>234</v>
      </c>
      <c r="F16" s="13">
        <f t="shared" si="1"/>
        <v>195</v>
      </c>
      <c r="G16" s="13">
        <f t="shared" si="12"/>
        <v>738.25</v>
      </c>
      <c r="H16" s="13">
        <f t="shared" si="13"/>
        <v>918.60999999999967</v>
      </c>
      <c r="I16" s="13">
        <f t="shared" si="14"/>
        <v>802</v>
      </c>
      <c r="J16" s="13">
        <f t="shared" si="15"/>
        <v>672</v>
      </c>
      <c r="K16" s="13">
        <f t="shared" si="16"/>
        <v>835.75</v>
      </c>
      <c r="L16" s="13">
        <f t="shared" si="17"/>
        <v>701.49999999999989</v>
      </c>
      <c r="M16" s="13">
        <f t="shared" si="18"/>
        <v>1176.5</v>
      </c>
      <c r="N16" s="13">
        <f t="shared" si="5"/>
        <v>214.5</v>
      </c>
      <c r="O16" s="12">
        <f t="shared" si="2"/>
        <v>526.5</v>
      </c>
      <c r="P16" s="13">
        <f t="shared" si="3"/>
        <v>257.39999999999998</v>
      </c>
      <c r="Q16" s="13">
        <f t="shared" si="4"/>
        <v>214.5</v>
      </c>
      <c r="R16" s="13">
        <f t="shared" si="6"/>
        <v>1176.5</v>
      </c>
      <c r="S16" s="13">
        <f t="shared" si="7"/>
        <v>214.5</v>
      </c>
      <c r="T16" s="11">
        <f t="shared" si="8"/>
        <v>962</v>
      </c>
      <c r="U16" s="2"/>
      <c r="V16" s="3"/>
    </row>
    <row r="17" spans="1:22" x14ac:dyDescent="0.3">
      <c r="A17" s="142">
        <v>14</v>
      </c>
      <c r="B17" s="16">
        <f t="shared" si="9"/>
        <v>14</v>
      </c>
      <c r="C17" s="13">
        <f t="shared" si="10"/>
        <v>210</v>
      </c>
      <c r="D17" s="12">
        <f t="shared" si="0"/>
        <v>420</v>
      </c>
      <c r="E17" s="13">
        <f t="shared" si="11"/>
        <v>252</v>
      </c>
      <c r="F17" s="13">
        <f t="shared" si="1"/>
        <v>210</v>
      </c>
      <c r="G17" s="13">
        <f t="shared" si="12"/>
        <v>794.75</v>
      </c>
      <c r="H17" s="13">
        <f t="shared" si="13"/>
        <v>989.16999999999962</v>
      </c>
      <c r="I17" s="13">
        <f t="shared" si="14"/>
        <v>863.5</v>
      </c>
      <c r="J17" s="13">
        <f t="shared" si="15"/>
        <v>723.5</v>
      </c>
      <c r="K17" s="13">
        <f t="shared" si="16"/>
        <v>899.75</v>
      </c>
      <c r="L17" s="13">
        <f t="shared" si="17"/>
        <v>755.25999999999988</v>
      </c>
      <c r="M17" s="13">
        <f t="shared" si="18"/>
        <v>1267</v>
      </c>
      <c r="N17" s="13">
        <f t="shared" si="5"/>
        <v>231</v>
      </c>
      <c r="O17" s="12">
        <f t="shared" si="2"/>
        <v>567</v>
      </c>
      <c r="P17" s="13">
        <f t="shared" si="3"/>
        <v>277.2</v>
      </c>
      <c r="Q17" s="13">
        <f t="shared" si="4"/>
        <v>231</v>
      </c>
      <c r="R17" s="13">
        <f t="shared" si="6"/>
        <v>1267</v>
      </c>
      <c r="S17" s="13">
        <f t="shared" si="7"/>
        <v>231</v>
      </c>
      <c r="T17" s="11">
        <f t="shared" si="8"/>
        <v>1036</v>
      </c>
      <c r="U17" s="2"/>
      <c r="V17" s="3"/>
    </row>
    <row r="18" spans="1:22" x14ac:dyDescent="0.3">
      <c r="A18" s="142">
        <v>15</v>
      </c>
      <c r="B18" s="16">
        <f t="shared" si="9"/>
        <v>15</v>
      </c>
      <c r="C18" s="13">
        <f t="shared" si="10"/>
        <v>225</v>
      </c>
      <c r="D18" s="12">
        <f t="shared" si="0"/>
        <v>450</v>
      </c>
      <c r="E18" s="13">
        <f t="shared" si="11"/>
        <v>270</v>
      </c>
      <c r="F18" s="13">
        <f t="shared" si="1"/>
        <v>225</v>
      </c>
      <c r="G18" s="13">
        <f t="shared" si="12"/>
        <v>851.25</v>
      </c>
      <c r="H18" s="13">
        <f t="shared" si="13"/>
        <v>1059.7299999999996</v>
      </c>
      <c r="I18" s="13">
        <f t="shared" si="14"/>
        <v>925</v>
      </c>
      <c r="J18" s="13">
        <f t="shared" si="15"/>
        <v>775</v>
      </c>
      <c r="K18" s="13">
        <f t="shared" si="16"/>
        <v>963.75</v>
      </c>
      <c r="L18" s="13">
        <f t="shared" si="17"/>
        <v>809.01999999999987</v>
      </c>
      <c r="M18" s="13">
        <f t="shared" si="18"/>
        <v>1357.5</v>
      </c>
      <c r="N18" s="13">
        <f t="shared" si="5"/>
        <v>247.5</v>
      </c>
      <c r="O18" s="12">
        <f t="shared" si="2"/>
        <v>607.5</v>
      </c>
      <c r="P18" s="13">
        <f t="shared" si="3"/>
        <v>297</v>
      </c>
      <c r="Q18" s="13">
        <f t="shared" si="4"/>
        <v>247.5</v>
      </c>
      <c r="R18" s="13">
        <f t="shared" si="6"/>
        <v>1357.5</v>
      </c>
      <c r="S18" s="13">
        <f t="shared" si="7"/>
        <v>247.5</v>
      </c>
      <c r="T18" s="11">
        <f t="shared" si="8"/>
        <v>1110</v>
      </c>
      <c r="U18" s="2"/>
      <c r="V18" s="3"/>
    </row>
    <row r="19" spans="1:22" x14ac:dyDescent="0.3">
      <c r="A19" s="142">
        <v>16</v>
      </c>
      <c r="B19" s="16">
        <f t="shared" si="9"/>
        <v>16</v>
      </c>
      <c r="C19" s="13">
        <f t="shared" si="10"/>
        <v>240</v>
      </c>
      <c r="D19" s="12">
        <f t="shared" si="0"/>
        <v>480</v>
      </c>
      <c r="E19" s="13">
        <f t="shared" si="11"/>
        <v>288</v>
      </c>
      <c r="F19" s="13">
        <f t="shared" si="1"/>
        <v>240</v>
      </c>
      <c r="G19" s="13">
        <f t="shared" si="12"/>
        <v>907.75</v>
      </c>
      <c r="H19" s="13">
        <f t="shared" si="13"/>
        <v>1130.2899999999995</v>
      </c>
      <c r="I19" s="13">
        <f t="shared" si="14"/>
        <v>986.5</v>
      </c>
      <c r="J19" s="13">
        <f t="shared" si="15"/>
        <v>826.5</v>
      </c>
      <c r="K19" s="13">
        <f t="shared" si="16"/>
        <v>1027.75</v>
      </c>
      <c r="L19" s="13">
        <f t="shared" si="17"/>
        <v>862.77999999999986</v>
      </c>
      <c r="M19" s="13">
        <f t="shared" si="18"/>
        <v>1448</v>
      </c>
      <c r="N19" s="13">
        <f t="shared" si="5"/>
        <v>264</v>
      </c>
      <c r="O19" s="12">
        <f t="shared" si="2"/>
        <v>648</v>
      </c>
      <c r="P19" s="13">
        <f t="shared" si="3"/>
        <v>316.8</v>
      </c>
      <c r="Q19" s="13">
        <f t="shared" si="4"/>
        <v>264</v>
      </c>
      <c r="R19" s="13">
        <f t="shared" si="6"/>
        <v>1448</v>
      </c>
      <c r="S19" s="13">
        <f t="shared" si="7"/>
        <v>264</v>
      </c>
      <c r="T19" s="11">
        <f t="shared" si="8"/>
        <v>1184</v>
      </c>
      <c r="U19" s="2"/>
      <c r="V19" s="3"/>
    </row>
    <row r="20" spans="1:22" x14ac:dyDescent="0.3">
      <c r="A20" s="142">
        <v>17</v>
      </c>
      <c r="B20" s="16">
        <f t="shared" si="9"/>
        <v>17</v>
      </c>
      <c r="C20" s="13">
        <f t="shared" si="10"/>
        <v>255</v>
      </c>
      <c r="D20" s="12">
        <f t="shared" si="0"/>
        <v>510</v>
      </c>
      <c r="E20" s="13">
        <f t="shared" si="11"/>
        <v>306</v>
      </c>
      <c r="F20" s="13">
        <f t="shared" si="1"/>
        <v>255</v>
      </c>
      <c r="G20" s="13">
        <f t="shared" si="12"/>
        <v>964.25</v>
      </c>
      <c r="H20" s="13">
        <f t="shared" si="13"/>
        <v>1200.8499999999995</v>
      </c>
      <c r="I20" s="13">
        <f t="shared" si="14"/>
        <v>1048</v>
      </c>
      <c r="J20" s="13">
        <f t="shared" si="15"/>
        <v>878</v>
      </c>
      <c r="K20" s="13">
        <f t="shared" si="16"/>
        <v>1091.75</v>
      </c>
      <c r="L20" s="13">
        <f t="shared" si="17"/>
        <v>916.53999999999985</v>
      </c>
      <c r="M20" s="13">
        <f t="shared" si="18"/>
        <v>1538.5</v>
      </c>
      <c r="N20" s="13">
        <f t="shared" si="5"/>
        <v>280.5</v>
      </c>
      <c r="O20" s="12">
        <f t="shared" si="2"/>
        <v>688.5</v>
      </c>
      <c r="P20" s="13">
        <f t="shared" si="3"/>
        <v>336.6</v>
      </c>
      <c r="Q20" s="13">
        <f t="shared" si="4"/>
        <v>280.5</v>
      </c>
      <c r="R20" s="13">
        <f t="shared" si="6"/>
        <v>1538.5</v>
      </c>
      <c r="S20" s="13">
        <f t="shared" si="7"/>
        <v>280.5</v>
      </c>
      <c r="T20" s="11">
        <f t="shared" si="8"/>
        <v>1258</v>
      </c>
      <c r="U20" s="2"/>
      <c r="V20" s="3"/>
    </row>
    <row r="21" spans="1:22" x14ac:dyDescent="0.3">
      <c r="A21" s="142">
        <v>18</v>
      </c>
      <c r="B21" s="16">
        <f t="shared" si="9"/>
        <v>18</v>
      </c>
      <c r="C21" s="13">
        <f t="shared" si="10"/>
        <v>270</v>
      </c>
      <c r="D21" s="12">
        <f t="shared" si="0"/>
        <v>540</v>
      </c>
      <c r="E21" s="13">
        <f t="shared" si="11"/>
        <v>324</v>
      </c>
      <c r="F21" s="13">
        <f t="shared" si="1"/>
        <v>270</v>
      </c>
      <c r="G21" s="13">
        <f t="shared" si="12"/>
        <v>1020.75</v>
      </c>
      <c r="H21" s="13">
        <f t="shared" si="13"/>
        <v>1271.4099999999994</v>
      </c>
      <c r="I21" s="13">
        <f t="shared" si="14"/>
        <v>1109.5</v>
      </c>
      <c r="J21" s="13">
        <f t="shared" si="15"/>
        <v>929.5</v>
      </c>
      <c r="K21" s="13">
        <f t="shared" si="16"/>
        <v>1155.75</v>
      </c>
      <c r="L21" s="13">
        <f t="shared" si="17"/>
        <v>970.29999999999984</v>
      </c>
      <c r="M21" s="13">
        <f t="shared" si="18"/>
        <v>1629</v>
      </c>
      <c r="N21" s="13">
        <f t="shared" si="5"/>
        <v>297</v>
      </c>
      <c r="O21" s="12">
        <f t="shared" si="2"/>
        <v>729</v>
      </c>
      <c r="P21" s="13">
        <f t="shared" si="3"/>
        <v>356.4</v>
      </c>
      <c r="Q21" s="13">
        <f t="shared" si="4"/>
        <v>297</v>
      </c>
      <c r="R21" s="13">
        <f t="shared" si="6"/>
        <v>1629</v>
      </c>
      <c r="S21" s="13">
        <f t="shared" si="7"/>
        <v>297</v>
      </c>
      <c r="T21" s="11">
        <f t="shared" si="8"/>
        <v>1332</v>
      </c>
      <c r="U21" s="2"/>
      <c r="V21" s="3"/>
    </row>
    <row r="22" spans="1:22" x14ac:dyDescent="0.3">
      <c r="A22" s="142">
        <v>19</v>
      </c>
      <c r="B22" s="16">
        <f t="shared" si="9"/>
        <v>19</v>
      </c>
      <c r="C22" s="13">
        <f t="shared" si="10"/>
        <v>285</v>
      </c>
      <c r="D22" s="12">
        <f t="shared" si="0"/>
        <v>570</v>
      </c>
      <c r="E22" s="13">
        <f t="shared" si="11"/>
        <v>342</v>
      </c>
      <c r="F22" s="13">
        <f t="shared" si="1"/>
        <v>285</v>
      </c>
      <c r="G22" s="13">
        <f t="shared" si="12"/>
        <v>1077.25</v>
      </c>
      <c r="H22" s="13">
        <f t="shared" si="13"/>
        <v>1341.9699999999993</v>
      </c>
      <c r="I22" s="13">
        <f t="shared" si="14"/>
        <v>1171</v>
      </c>
      <c r="J22" s="13">
        <f t="shared" si="15"/>
        <v>981</v>
      </c>
      <c r="K22" s="13">
        <f t="shared" si="16"/>
        <v>1219.75</v>
      </c>
      <c r="L22" s="13">
        <f t="shared" si="17"/>
        <v>1024.06</v>
      </c>
      <c r="M22" s="13">
        <f t="shared" si="18"/>
        <v>1719.5</v>
      </c>
      <c r="N22" s="13">
        <f t="shared" si="5"/>
        <v>313.5</v>
      </c>
      <c r="O22" s="12">
        <f t="shared" si="2"/>
        <v>769.5</v>
      </c>
      <c r="P22" s="13">
        <f t="shared" si="3"/>
        <v>376.2</v>
      </c>
      <c r="Q22" s="13">
        <f t="shared" si="4"/>
        <v>313.5</v>
      </c>
      <c r="R22" s="13">
        <f t="shared" si="6"/>
        <v>1719.5</v>
      </c>
      <c r="S22" s="13">
        <f t="shared" si="7"/>
        <v>313.5</v>
      </c>
      <c r="T22" s="11">
        <f t="shared" si="8"/>
        <v>1406</v>
      </c>
      <c r="U22" s="2"/>
      <c r="V22" s="3"/>
    </row>
    <row r="23" spans="1:22" x14ac:dyDescent="0.3">
      <c r="A23" s="142">
        <v>20</v>
      </c>
      <c r="B23" s="16">
        <f t="shared" si="9"/>
        <v>20</v>
      </c>
      <c r="C23" s="13">
        <f t="shared" si="10"/>
        <v>300</v>
      </c>
      <c r="D23" s="12">
        <f t="shared" si="0"/>
        <v>600</v>
      </c>
      <c r="E23" s="13">
        <f t="shared" si="11"/>
        <v>360</v>
      </c>
      <c r="F23" s="13">
        <f t="shared" si="1"/>
        <v>300</v>
      </c>
      <c r="G23" s="13">
        <f t="shared" si="12"/>
        <v>1133.75</v>
      </c>
      <c r="H23" s="13">
        <f t="shared" si="13"/>
        <v>1412.5299999999993</v>
      </c>
      <c r="I23" s="13">
        <f t="shared" si="14"/>
        <v>1232.5</v>
      </c>
      <c r="J23" s="13">
        <f t="shared" si="15"/>
        <v>1032.5</v>
      </c>
      <c r="K23" s="13">
        <f t="shared" si="16"/>
        <v>1283.75</v>
      </c>
      <c r="L23" s="13">
        <f t="shared" si="17"/>
        <v>1077.82</v>
      </c>
      <c r="M23" s="13">
        <f t="shared" si="18"/>
        <v>1810</v>
      </c>
      <c r="N23" s="13">
        <f t="shared" si="5"/>
        <v>330</v>
      </c>
      <c r="O23" s="12">
        <f t="shared" si="2"/>
        <v>810</v>
      </c>
      <c r="P23" s="13">
        <f t="shared" si="3"/>
        <v>396</v>
      </c>
      <c r="Q23" s="13">
        <f t="shared" si="4"/>
        <v>330</v>
      </c>
      <c r="R23" s="13">
        <f t="shared" si="6"/>
        <v>1810</v>
      </c>
      <c r="S23" s="13">
        <f t="shared" si="7"/>
        <v>330</v>
      </c>
      <c r="T23" s="11">
        <f t="shared" si="8"/>
        <v>1480</v>
      </c>
      <c r="U23" s="2"/>
      <c r="V23" s="3"/>
    </row>
    <row r="24" spans="1:22" x14ac:dyDescent="0.3">
      <c r="A24" s="142">
        <v>21</v>
      </c>
      <c r="B24" s="16">
        <f t="shared" si="9"/>
        <v>21</v>
      </c>
      <c r="C24" s="13">
        <f t="shared" si="10"/>
        <v>315</v>
      </c>
      <c r="D24" s="12">
        <f t="shared" si="0"/>
        <v>630</v>
      </c>
      <c r="E24" s="13">
        <f t="shared" si="11"/>
        <v>378</v>
      </c>
      <c r="F24" s="13">
        <f t="shared" si="1"/>
        <v>315</v>
      </c>
      <c r="G24" s="13">
        <f t="shared" si="12"/>
        <v>1190.25</v>
      </c>
      <c r="H24" s="13">
        <f t="shared" si="13"/>
        <v>1483.0899999999992</v>
      </c>
      <c r="I24" s="13">
        <f t="shared" si="14"/>
        <v>1294</v>
      </c>
      <c r="J24" s="13">
        <f t="shared" si="15"/>
        <v>1084</v>
      </c>
      <c r="K24" s="13">
        <f t="shared" si="16"/>
        <v>1347.75</v>
      </c>
      <c r="L24" s="13">
        <f t="shared" si="17"/>
        <v>1131.58</v>
      </c>
      <c r="M24" s="13">
        <f t="shared" si="18"/>
        <v>1900.5</v>
      </c>
      <c r="N24" s="13">
        <f t="shared" si="5"/>
        <v>346.5</v>
      </c>
      <c r="O24" s="12">
        <f t="shared" si="2"/>
        <v>850.5</v>
      </c>
      <c r="P24" s="13">
        <f t="shared" si="3"/>
        <v>415.8</v>
      </c>
      <c r="Q24" s="13">
        <f t="shared" si="4"/>
        <v>346.5</v>
      </c>
      <c r="R24" s="13">
        <f t="shared" si="6"/>
        <v>1900.5</v>
      </c>
      <c r="S24" s="13">
        <f t="shared" si="7"/>
        <v>346.5</v>
      </c>
      <c r="T24" s="11">
        <f t="shared" si="8"/>
        <v>1554</v>
      </c>
      <c r="U24" s="2"/>
      <c r="V24" s="3"/>
    </row>
    <row r="25" spans="1:22" x14ac:dyDescent="0.3">
      <c r="A25" s="142">
        <v>22</v>
      </c>
      <c r="B25" s="16">
        <f t="shared" si="9"/>
        <v>22</v>
      </c>
      <c r="C25" s="13">
        <f t="shared" si="10"/>
        <v>330</v>
      </c>
      <c r="D25" s="12">
        <f t="shared" si="0"/>
        <v>660</v>
      </c>
      <c r="E25" s="13">
        <f t="shared" si="11"/>
        <v>396</v>
      </c>
      <c r="F25" s="13">
        <f t="shared" si="1"/>
        <v>330</v>
      </c>
      <c r="G25" s="13">
        <f t="shared" si="12"/>
        <v>1246.75</v>
      </c>
      <c r="H25" s="13">
        <f t="shared" si="13"/>
        <v>1553.6499999999992</v>
      </c>
      <c r="I25" s="13">
        <f t="shared" si="14"/>
        <v>1355.5</v>
      </c>
      <c r="J25" s="13">
        <f t="shared" si="15"/>
        <v>1135.5</v>
      </c>
      <c r="K25" s="13">
        <f t="shared" si="16"/>
        <v>1411.75</v>
      </c>
      <c r="L25" s="13">
        <f t="shared" si="17"/>
        <v>1185.3399999999999</v>
      </c>
      <c r="M25" s="13">
        <f t="shared" si="18"/>
        <v>1991</v>
      </c>
      <c r="N25" s="13">
        <f t="shared" si="5"/>
        <v>363</v>
      </c>
      <c r="O25" s="12">
        <f t="shared" si="2"/>
        <v>891</v>
      </c>
      <c r="P25" s="13">
        <f t="shared" si="3"/>
        <v>435.6</v>
      </c>
      <c r="Q25" s="13">
        <f t="shared" si="4"/>
        <v>363</v>
      </c>
      <c r="R25" s="13">
        <f t="shared" si="6"/>
        <v>1991</v>
      </c>
      <c r="S25" s="13">
        <f t="shared" si="7"/>
        <v>363</v>
      </c>
      <c r="T25" s="11">
        <f t="shared" si="8"/>
        <v>1628</v>
      </c>
      <c r="U25" s="2"/>
      <c r="V25" s="3"/>
    </row>
    <row r="26" spans="1:22" x14ac:dyDescent="0.3">
      <c r="A26" s="142">
        <v>23</v>
      </c>
      <c r="B26" s="16">
        <f t="shared" si="9"/>
        <v>23</v>
      </c>
      <c r="C26" s="13">
        <f t="shared" si="10"/>
        <v>345</v>
      </c>
      <c r="D26" s="12">
        <f t="shared" si="0"/>
        <v>690</v>
      </c>
      <c r="E26" s="13">
        <f t="shared" si="11"/>
        <v>414</v>
      </c>
      <c r="F26" s="13">
        <f t="shared" si="1"/>
        <v>345</v>
      </c>
      <c r="G26" s="13">
        <f t="shared" si="12"/>
        <v>1303.25</v>
      </c>
      <c r="H26" s="13">
        <f t="shared" si="13"/>
        <v>1624.2099999999991</v>
      </c>
      <c r="I26" s="13">
        <f t="shared" si="14"/>
        <v>1417</v>
      </c>
      <c r="J26" s="13">
        <f t="shared" si="15"/>
        <v>1187</v>
      </c>
      <c r="K26" s="13">
        <f t="shared" si="16"/>
        <v>1475.75</v>
      </c>
      <c r="L26" s="13">
        <f t="shared" si="17"/>
        <v>1239.0999999999999</v>
      </c>
      <c r="M26" s="13">
        <f t="shared" si="18"/>
        <v>2081.5</v>
      </c>
      <c r="N26" s="13">
        <f t="shared" si="5"/>
        <v>379.5</v>
      </c>
      <c r="O26" s="12">
        <f t="shared" si="2"/>
        <v>931.5</v>
      </c>
      <c r="P26" s="13">
        <f t="shared" si="3"/>
        <v>455.4</v>
      </c>
      <c r="Q26" s="13">
        <f t="shared" si="4"/>
        <v>379.5</v>
      </c>
      <c r="R26" s="13">
        <f t="shared" si="6"/>
        <v>2081.5</v>
      </c>
      <c r="S26" s="13">
        <f t="shared" si="7"/>
        <v>379.5</v>
      </c>
      <c r="T26" s="11">
        <f t="shared" si="8"/>
        <v>1702</v>
      </c>
      <c r="U26" s="2"/>
      <c r="V26" s="3"/>
    </row>
    <row r="27" spans="1:22" x14ac:dyDescent="0.3">
      <c r="A27" s="142">
        <v>24</v>
      </c>
      <c r="B27" s="16">
        <f t="shared" si="9"/>
        <v>24</v>
      </c>
      <c r="C27" s="13">
        <f t="shared" si="10"/>
        <v>360</v>
      </c>
      <c r="D27" s="12">
        <f t="shared" si="0"/>
        <v>720</v>
      </c>
      <c r="E27" s="13">
        <f t="shared" si="11"/>
        <v>432</v>
      </c>
      <c r="F27" s="13">
        <f t="shared" si="1"/>
        <v>360</v>
      </c>
      <c r="G27" s="13">
        <f t="shared" si="12"/>
        <v>1359.75</v>
      </c>
      <c r="H27" s="13">
        <f t="shared" si="13"/>
        <v>1694.7699999999991</v>
      </c>
      <c r="I27" s="13">
        <f t="shared" si="14"/>
        <v>1478.5</v>
      </c>
      <c r="J27" s="13">
        <f t="shared" si="15"/>
        <v>1238.5</v>
      </c>
      <c r="K27" s="13">
        <f t="shared" si="16"/>
        <v>1539.75</v>
      </c>
      <c r="L27" s="13">
        <f t="shared" si="17"/>
        <v>1292.8599999999999</v>
      </c>
      <c r="M27" s="13">
        <f t="shared" si="18"/>
        <v>2172</v>
      </c>
      <c r="N27" s="13">
        <f t="shared" si="5"/>
        <v>396</v>
      </c>
      <c r="O27" s="12">
        <f t="shared" si="2"/>
        <v>972</v>
      </c>
      <c r="P27" s="13">
        <f t="shared" si="3"/>
        <v>475.2</v>
      </c>
      <c r="Q27" s="13">
        <f t="shared" si="4"/>
        <v>396</v>
      </c>
      <c r="R27" s="13">
        <f t="shared" si="6"/>
        <v>2172</v>
      </c>
      <c r="S27" s="13">
        <f t="shared" si="7"/>
        <v>396</v>
      </c>
      <c r="T27" s="11">
        <f t="shared" si="8"/>
        <v>1776</v>
      </c>
      <c r="U27" s="2"/>
      <c r="V27" s="3"/>
    </row>
    <row r="28" spans="1:22" x14ac:dyDescent="0.3">
      <c r="A28" s="142">
        <v>25</v>
      </c>
      <c r="B28" s="16">
        <f t="shared" si="9"/>
        <v>25</v>
      </c>
      <c r="C28" s="13">
        <f t="shared" si="10"/>
        <v>375</v>
      </c>
      <c r="D28" s="12">
        <f t="shared" si="0"/>
        <v>750</v>
      </c>
      <c r="E28" s="13">
        <f t="shared" si="11"/>
        <v>450</v>
      </c>
      <c r="F28" s="13">
        <f t="shared" si="1"/>
        <v>375</v>
      </c>
      <c r="G28" s="13">
        <f t="shared" si="12"/>
        <v>1416.25</v>
      </c>
      <c r="H28" s="13">
        <f t="shared" si="13"/>
        <v>1765.329999999999</v>
      </c>
      <c r="I28" s="13">
        <f t="shared" si="14"/>
        <v>1540</v>
      </c>
      <c r="J28" s="13">
        <f t="shared" si="15"/>
        <v>1290</v>
      </c>
      <c r="K28" s="13">
        <f t="shared" si="16"/>
        <v>1603.75</v>
      </c>
      <c r="L28" s="13">
        <f t="shared" si="17"/>
        <v>1346.62</v>
      </c>
      <c r="M28" s="13">
        <f t="shared" si="18"/>
        <v>2262.5</v>
      </c>
      <c r="N28" s="13">
        <f t="shared" si="5"/>
        <v>412.5</v>
      </c>
      <c r="O28" s="12">
        <f t="shared" si="2"/>
        <v>1012.5</v>
      </c>
      <c r="P28" s="13">
        <f t="shared" si="3"/>
        <v>495</v>
      </c>
      <c r="Q28" s="13">
        <f t="shared" si="4"/>
        <v>412.5</v>
      </c>
      <c r="R28" s="13">
        <f t="shared" si="6"/>
        <v>2262.5</v>
      </c>
      <c r="S28" s="13">
        <f t="shared" si="7"/>
        <v>412.5</v>
      </c>
      <c r="T28" s="11">
        <f t="shared" si="8"/>
        <v>1850</v>
      </c>
      <c r="U28" s="2"/>
      <c r="V28" s="3"/>
    </row>
    <row r="29" spans="1:22" x14ac:dyDescent="0.3">
      <c r="A29" s="142">
        <v>26</v>
      </c>
      <c r="B29" s="16">
        <f t="shared" si="9"/>
        <v>26</v>
      </c>
      <c r="C29" s="13">
        <f t="shared" si="10"/>
        <v>390</v>
      </c>
      <c r="D29" s="12">
        <f t="shared" si="0"/>
        <v>780</v>
      </c>
      <c r="E29" s="13">
        <f t="shared" si="11"/>
        <v>468</v>
      </c>
      <c r="F29" s="13">
        <f t="shared" si="1"/>
        <v>390</v>
      </c>
      <c r="G29" s="13">
        <f t="shared" si="12"/>
        <v>1472.75</v>
      </c>
      <c r="H29" s="13">
        <f t="shared" si="13"/>
        <v>1835.889999999999</v>
      </c>
      <c r="I29" s="13">
        <f t="shared" si="14"/>
        <v>1601.5</v>
      </c>
      <c r="J29" s="13">
        <f t="shared" si="15"/>
        <v>1341.5</v>
      </c>
      <c r="K29" s="13">
        <f t="shared" si="16"/>
        <v>1667.75</v>
      </c>
      <c r="L29" s="13">
        <f t="shared" si="17"/>
        <v>1400.3799999999999</v>
      </c>
      <c r="M29" s="13">
        <f t="shared" si="18"/>
        <v>2353</v>
      </c>
      <c r="N29" s="13">
        <f t="shared" si="5"/>
        <v>429</v>
      </c>
      <c r="O29" s="12">
        <f t="shared" si="2"/>
        <v>1053</v>
      </c>
      <c r="P29" s="13">
        <f t="shared" si="3"/>
        <v>514.79999999999995</v>
      </c>
      <c r="Q29" s="13">
        <f t="shared" si="4"/>
        <v>429</v>
      </c>
      <c r="R29" s="13">
        <f t="shared" si="6"/>
        <v>2353</v>
      </c>
      <c r="S29" s="13">
        <f t="shared" si="7"/>
        <v>429</v>
      </c>
      <c r="T29" s="11">
        <f t="shared" si="8"/>
        <v>1924</v>
      </c>
      <c r="U29" s="2"/>
      <c r="V29" s="3"/>
    </row>
    <row r="30" spans="1:22" x14ac:dyDescent="0.3">
      <c r="A30" s="142">
        <v>27</v>
      </c>
      <c r="B30" s="16">
        <f t="shared" si="9"/>
        <v>27</v>
      </c>
      <c r="C30" s="13">
        <f t="shared" si="10"/>
        <v>405</v>
      </c>
      <c r="D30" s="12">
        <f t="shared" si="0"/>
        <v>810</v>
      </c>
      <c r="E30" s="13">
        <f t="shared" si="11"/>
        <v>486</v>
      </c>
      <c r="F30" s="13">
        <f t="shared" si="1"/>
        <v>405</v>
      </c>
      <c r="G30" s="13">
        <f t="shared" si="12"/>
        <v>1529.25</v>
      </c>
      <c r="H30" s="13">
        <f t="shared" si="13"/>
        <v>1906.4499999999989</v>
      </c>
      <c r="I30" s="13">
        <f t="shared" si="14"/>
        <v>1663</v>
      </c>
      <c r="J30" s="13">
        <f t="shared" si="15"/>
        <v>1393</v>
      </c>
      <c r="K30" s="13">
        <f t="shared" si="16"/>
        <v>1731.75</v>
      </c>
      <c r="L30" s="13">
        <f t="shared" si="17"/>
        <v>1454.1399999999999</v>
      </c>
      <c r="M30" s="13">
        <f t="shared" si="18"/>
        <v>2443.5</v>
      </c>
      <c r="N30" s="13">
        <f t="shared" si="5"/>
        <v>445.5</v>
      </c>
      <c r="O30" s="12">
        <f t="shared" si="2"/>
        <v>1093.5</v>
      </c>
      <c r="P30" s="13">
        <f t="shared" si="3"/>
        <v>534.6</v>
      </c>
      <c r="Q30" s="13">
        <f t="shared" si="4"/>
        <v>445.5</v>
      </c>
      <c r="R30" s="13">
        <f t="shared" si="6"/>
        <v>2443.5</v>
      </c>
      <c r="S30" s="13">
        <f t="shared" si="7"/>
        <v>445.5</v>
      </c>
      <c r="T30" s="11">
        <f t="shared" si="8"/>
        <v>1998</v>
      </c>
      <c r="U30" s="2"/>
      <c r="V30" s="3"/>
    </row>
    <row r="31" spans="1:22" x14ac:dyDescent="0.3">
      <c r="A31" s="142">
        <v>28</v>
      </c>
      <c r="B31" s="16">
        <f t="shared" si="9"/>
        <v>28</v>
      </c>
      <c r="C31" s="13">
        <f t="shared" si="10"/>
        <v>420</v>
      </c>
      <c r="D31" s="12">
        <f t="shared" si="0"/>
        <v>840</v>
      </c>
      <c r="E31" s="13">
        <f t="shared" si="11"/>
        <v>504</v>
      </c>
      <c r="F31" s="13">
        <f t="shared" si="1"/>
        <v>420</v>
      </c>
      <c r="G31" s="13">
        <f t="shared" si="12"/>
        <v>1585.75</v>
      </c>
      <c r="H31" s="13">
        <f t="shared" si="13"/>
        <v>1977.0099999999989</v>
      </c>
      <c r="I31" s="13">
        <f t="shared" si="14"/>
        <v>1724.5</v>
      </c>
      <c r="J31" s="13">
        <f t="shared" si="15"/>
        <v>1444.5</v>
      </c>
      <c r="K31" s="13">
        <f t="shared" si="16"/>
        <v>1795.75</v>
      </c>
      <c r="L31" s="13">
        <f t="shared" si="17"/>
        <v>1507.8999999999999</v>
      </c>
      <c r="M31" s="13">
        <f t="shared" si="18"/>
        <v>2534</v>
      </c>
      <c r="N31" s="13">
        <f t="shared" si="5"/>
        <v>462</v>
      </c>
      <c r="O31" s="12">
        <f t="shared" si="2"/>
        <v>1134</v>
      </c>
      <c r="P31" s="13">
        <f t="shared" si="3"/>
        <v>554.4</v>
      </c>
      <c r="Q31" s="13">
        <f t="shared" si="4"/>
        <v>462</v>
      </c>
      <c r="R31" s="13">
        <f t="shared" si="6"/>
        <v>2534</v>
      </c>
      <c r="S31" s="13">
        <f t="shared" si="7"/>
        <v>462</v>
      </c>
      <c r="T31" s="11">
        <f t="shared" si="8"/>
        <v>2072</v>
      </c>
      <c r="U31" s="2"/>
      <c r="V31" s="3"/>
    </row>
    <row r="32" spans="1:22" x14ac:dyDescent="0.3">
      <c r="A32" s="142">
        <v>29</v>
      </c>
      <c r="B32" s="16">
        <f t="shared" si="9"/>
        <v>29</v>
      </c>
      <c r="C32" s="13">
        <f t="shared" si="10"/>
        <v>435</v>
      </c>
      <c r="D32" s="12">
        <f t="shared" si="0"/>
        <v>870</v>
      </c>
      <c r="E32" s="13">
        <f t="shared" si="11"/>
        <v>522</v>
      </c>
      <c r="F32" s="13">
        <f t="shared" si="1"/>
        <v>435</v>
      </c>
      <c r="G32" s="13">
        <f t="shared" si="12"/>
        <v>1642.25</v>
      </c>
      <c r="H32" s="13">
        <f t="shared" si="13"/>
        <v>2047.5699999999988</v>
      </c>
      <c r="I32" s="13">
        <f t="shared" si="14"/>
        <v>1786</v>
      </c>
      <c r="J32" s="13">
        <f t="shared" si="15"/>
        <v>1496</v>
      </c>
      <c r="K32" s="13">
        <f t="shared" si="16"/>
        <v>1859.75</v>
      </c>
      <c r="L32" s="13">
        <f t="shared" si="17"/>
        <v>1561.6599999999999</v>
      </c>
      <c r="M32" s="13">
        <f t="shared" si="18"/>
        <v>2624.5</v>
      </c>
      <c r="N32" s="13">
        <f t="shared" si="5"/>
        <v>478.5</v>
      </c>
      <c r="O32" s="12">
        <f t="shared" si="2"/>
        <v>1174.5</v>
      </c>
      <c r="P32" s="13">
        <f t="shared" si="3"/>
        <v>574.20000000000005</v>
      </c>
      <c r="Q32" s="13">
        <f t="shared" si="4"/>
        <v>478.5</v>
      </c>
      <c r="R32" s="13">
        <f t="shared" si="6"/>
        <v>2624.5</v>
      </c>
      <c r="S32" s="13">
        <f t="shared" si="7"/>
        <v>478.5</v>
      </c>
      <c r="T32" s="11">
        <f t="shared" si="8"/>
        <v>2146</v>
      </c>
      <c r="U32" s="2"/>
      <c r="V32" s="3"/>
    </row>
    <row r="33" spans="1:22" x14ac:dyDescent="0.3">
      <c r="A33" s="142">
        <v>30</v>
      </c>
      <c r="B33" s="16">
        <f t="shared" si="9"/>
        <v>30</v>
      </c>
      <c r="C33" s="13">
        <f t="shared" si="10"/>
        <v>450</v>
      </c>
      <c r="D33" s="12">
        <f t="shared" si="0"/>
        <v>900</v>
      </c>
      <c r="E33" s="13">
        <f t="shared" si="11"/>
        <v>540</v>
      </c>
      <c r="F33" s="13">
        <f t="shared" si="1"/>
        <v>450</v>
      </c>
      <c r="G33" s="13">
        <f t="shared" si="12"/>
        <v>1698.75</v>
      </c>
      <c r="H33" s="13">
        <f t="shared" si="13"/>
        <v>2118.1299999999987</v>
      </c>
      <c r="I33" s="13">
        <f t="shared" si="14"/>
        <v>1847.5</v>
      </c>
      <c r="J33" s="13">
        <f t="shared" si="15"/>
        <v>1547.5</v>
      </c>
      <c r="K33" s="13">
        <f t="shared" si="16"/>
        <v>1923.75</v>
      </c>
      <c r="L33" s="13">
        <f t="shared" si="17"/>
        <v>1615.4199999999998</v>
      </c>
      <c r="M33" s="13">
        <f t="shared" si="18"/>
        <v>2715</v>
      </c>
      <c r="N33" s="13">
        <f t="shared" si="5"/>
        <v>495</v>
      </c>
      <c r="O33" s="12">
        <f t="shared" si="2"/>
        <v>1215</v>
      </c>
      <c r="P33" s="13">
        <f t="shared" si="3"/>
        <v>594</v>
      </c>
      <c r="Q33" s="13">
        <f t="shared" si="4"/>
        <v>495</v>
      </c>
      <c r="R33" s="13">
        <f t="shared" si="6"/>
        <v>2715</v>
      </c>
      <c r="S33" s="13">
        <f t="shared" si="7"/>
        <v>495</v>
      </c>
      <c r="T33" s="11">
        <f t="shared" si="8"/>
        <v>2220</v>
      </c>
      <c r="U33" s="2"/>
      <c r="V33" s="3"/>
    </row>
    <row r="34" spans="1:22" x14ac:dyDescent="0.3">
      <c r="A34" s="142">
        <v>31</v>
      </c>
      <c r="B34" s="16">
        <f t="shared" si="9"/>
        <v>31</v>
      </c>
      <c r="C34" s="13">
        <f t="shared" si="10"/>
        <v>465</v>
      </c>
      <c r="D34" s="12">
        <f t="shared" si="0"/>
        <v>930</v>
      </c>
      <c r="E34" s="13">
        <f t="shared" si="11"/>
        <v>558</v>
      </c>
      <c r="F34" s="13">
        <f t="shared" si="1"/>
        <v>465</v>
      </c>
      <c r="G34" s="13">
        <f t="shared" si="12"/>
        <v>1755.25</v>
      </c>
      <c r="H34" s="13">
        <f t="shared" si="13"/>
        <v>2188.6899999999987</v>
      </c>
      <c r="I34" s="13">
        <f t="shared" si="14"/>
        <v>1909</v>
      </c>
      <c r="J34" s="13">
        <f t="shared" si="15"/>
        <v>1599</v>
      </c>
      <c r="K34" s="13">
        <f t="shared" si="16"/>
        <v>1987.75</v>
      </c>
      <c r="L34" s="13">
        <f t="shared" si="17"/>
        <v>1669.1799999999998</v>
      </c>
      <c r="M34" s="13">
        <f t="shared" si="18"/>
        <v>2805.5</v>
      </c>
      <c r="N34" s="13">
        <f t="shared" si="5"/>
        <v>511.5</v>
      </c>
      <c r="O34" s="12">
        <f t="shared" si="2"/>
        <v>1255.5</v>
      </c>
      <c r="P34" s="13">
        <f t="shared" si="3"/>
        <v>613.79999999999995</v>
      </c>
      <c r="Q34" s="13">
        <f t="shared" si="4"/>
        <v>511.5</v>
      </c>
      <c r="R34" s="13">
        <f t="shared" si="6"/>
        <v>2805.5</v>
      </c>
      <c r="S34" s="13">
        <f t="shared" si="7"/>
        <v>511.5</v>
      </c>
      <c r="T34" s="11">
        <f t="shared" si="8"/>
        <v>2294</v>
      </c>
      <c r="U34" s="2"/>
      <c r="V34" s="3"/>
    </row>
    <row r="35" spans="1:22" x14ac:dyDescent="0.3">
      <c r="A35" s="142">
        <v>32</v>
      </c>
      <c r="B35" s="16">
        <f t="shared" si="9"/>
        <v>32</v>
      </c>
      <c r="C35" s="13">
        <f t="shared" si="10"/>
        <v>480</v>
      </c>
      <c r="D35" s="12">
        <f t="shared" si="0"/>
        <v>960</v>
      </c>
      <c r="E35" s="13">
        <f t="shared" si="11"/>
        <v>576</v>
      </c>
      <c r="F35" s="13">
        <f t="shared" si="1"/>
        <v>480</v>
      </c>
      <c r="G35" s="13">
        <f t="shared" si="12"/>
        <v>1811.75</v>
      </c>
      <c r="H35" s="13">
        <f t="shared" si="13"/>
        <v>2259.2499999999986</v>
      </c>
      <c r="I35" s="13">
        <f t="shared" si="14"/>
        <v>1970.5</v>
      </c>
      <c r="J35" s="13">
        <f t="shared" si="15"/>
        <v>1650.5</v>
      </c>
      <c r="K35" s="13">
        <f t="shared" si="16"/>
        <v>2051.75</v>
      </c>
      <c r="L35" s="13">
        <f t="shared" si="17"/>
        <v>1722.9399999999998</v>
      </c>
      <c r="M35" s="13">
        <f t="shared" si="18"/>
        <v>2896</v>
      </c>
      <c r="N35" s="13">
        <f t="shared" si="5"/>
        <v>528</v>
      </c>
      <c r="O35" s="12">
        <f t="shared" si="2"/>
        <v>1296</v>
      </c>
      <c r="P35" s="13">
        <f t="shared" si="3"/>
        <v>633.6</v>
      </c>
      <c r="Q35" s="13">
        <f t="shared" si="4"/>
        <v>528</v>
      </c>
      <c r="R35" s="13">
        <f t="shared" si="6"/>
        <v>2896</v>
      </c>
      <c r="S35" s="13">
        <f t="shared" si="7"/>
        <v>528</v>
      </c>
      <c r="T35" s="11">
        <f t="shared" si="8"/>
        <v>2368</v>
      </c>
      <c r="U35" s="2"/>
      <c r="V35" s="3"/>
    </row>
    <row r="36" spans="1:22" x14ac:dyDescent="0.3">
      <c r="A36" s="142">
        <v>33</v>
      </c>
      <c r="B36" s="16">
        <f t="shared" si="9"/>
        <v>33</v>
      </c>
      <c r="C36" s="13">
        <f t="shared" si="10"/>
        <v>495</v>
      </c>
      <c r="D36" s="12">
        <f t="shared" ref="D36:D53" si="19">B36*$D$3</f>
        <v>990</v>
      </c>
      <c r="E36" s="13">
        <f t="shared" ref="E36:E53" si="20">B36*$E$3</f>
        <v>594</v>
      </c>
      <c r="F36" s="13">
        <f t="shared" ref="F36:F53" si="21">B36*$F$3</f>
        <v>495</v>
      </c>
      <c r="G36" s="13">
        <f t="shared" si="12"/>
        <v>1868.25</v>
      </c>
      <c r="H36" s="13">
        <f t="shared" si="13"/>
        <v>2329.8099999999986</v>
      </c>
      <c r="I36" s="13">
        <f t="shared" si="14"/>
        <v>2032</v>
      </c>
      <c r="J36" s="13">
        <f t="shared" si="15"/>
        <v>1702</v>
      </c>
      <c r="K36" s="13">
        <f t="shared" si="16"/>
        <v>2115.75</v>
      </c>
      <c r="L36" s="13">
        <f t="shared" si="17"/>
        <v>1776.6999999999998</v>
      </c>
      <c r="M36" s="13">
        <f t="shared" si="18"/>
        <v>2986.5</v>
      </c>
      <c r="N36" s="13">
        <f t="shared" si="5"/>
        <v>544.5</v>
      </c>
      <c r="O36" s="12">
        <f t="shared" ref="O36:O53" si="22">D36 + $O$3*D36</f>
        <v>1336.5</v>
      </c>
      <c r="P36" s="13">
        <f t="shared" ref="P36:P53" si="23">E36 + $P$3*E36</f>
        <v>653.4</v>
      </c>
      <c r="Q36" s="13">
        <f t="shared" ref="Q36:Q53" si="24">F36 + $Q$3*F36</f>
        <v>544.5</v>
      </c>
      <c r="R36" s="13">
        <f t="shared" si="6"/>
        <v>2986.5</v>
      </c>
      <c r="S36" s="13">
        <f t="shared" si="7"/>
        <v>544.5</v>
      </c>
      <c r="T36" s="11">
        <f t="shared" si="8"/>
        <v>2442</v>
      </c>
      <c r="U36" s="2"/>
      <c r="V36" s="3"/>
    </row>
    <row r="37" spans="1:22" x14ac:dyDescent="0.3">
      <c r="A37" s="142">
        <v>34</v>
      </c>
      <c r="B37" s="16">
        <f t="shared" si="9"/>
        <v>34</v>
      </c>
      <c r="C37" s="13">
        <f t="shared" si="10"/>
        <v>510</v>
      </c>
      <c r="D37" s="12">
        <f t="shared" si="19"/>
        <v>1020</v>
      </c>
      <c r="E37" s="13">
        <f t="shared" si="20"/>
        <v>612</v>
      </c>
      <c r="F37" s="13">
        <f t="shared" si="21"/>
        <v>510</v>
      </c>
      <c r="G37" s="13">
        <f t="shared" si="12"/>
        <v>1924.75</v>
      </c>
      <c r="H37" s="13">
        <f t="shared" si="13"/>
        <v>2400.3699999999985</v>
      </c>
      <c r="I37" s="13">
        <f t="shared" si="14"/>
        <v>2093.5</v>
      </c>
      <c r="J37" s="13">
        <f t="shared" si="15"/>
        <v>1753.5</v>
      </c>
      <c r="K37" s="13">
        <f t="shared" si="16"/>
        <v>2179.75</v>
      </c>
      <c r="L37" s="13">
        <f t="shared" si="17"/>
        <v>1830.4599999999998</v>
      </c>
      <c r="M37" s="13">
        <f t="shared" si="18"/>
        <v>3077</v>
      </c>
      <c r="N37" s="13">
        <f t="shared" si="5"/>
        <v>561</v>
      </c>
      <c r="O37" s="12">
        <f t="shared" si="22"/>
        <v>1377</v>
      </c>
      <c r="P37" s="13">
        <f t="shared" si="23"/>
        <v>673.2</v>
      </c>
      <c r="Q37" s="13">
        <f t="shared" si="24"/>
        <v>561</v>
      </c>
      <c r="R37" s="13">
        <f t="shared" ref="R37:R53" si="25">MAX(N37, O37, G37:Q37)</f>
        <v>3077</v>
      </c>
      <c r="S37" s="13">
        <f t="shared" ref="S37:S53" si="26">MIN(N37, O37, G37:Q37)</f>
        <v>561</v>
      </c>
      <c r="T37" s="11">
        <f t="shared" si="8"/>
        <v>2516</v>
      </c>
      <c r="U37" s="2"/>
      <c r="V37" s="3"/>
    </row>
    <row r="38" spans="1:22" x14ac:dyDescent="0.3">
      <c r="A38" s="142">
        <v>35</v>
      </c>
      <c r="B38" s="16">
        <f t="shared" si="9"/>
        <v>35</v>
      </c>
      <c r="C38" s="13">
        <f t="shared" si="10"/>
        <v>525</v>
      </c>
      <c r="D38" s="12">
        <f t="shared" si="19"/>
        <v>1050</v>
      </c>
      <c r="E38" s="13">
        <f t="shared" si="20"/>
        <v>630</v>
      </c>
      <c r="F38" s="13">
        <f t="shared" si="21"/>
        <v>525</v>
      </c>
      <c r="G38" s="13">
        <f t="shared" si="12"/>
        <v>1981.25</v>
      </c>
      <c r="H38" s="13">
        <f t="shared" si="13"/>
        <v>2470.9299999999985</v>
      </c>
      <c r="I38" s="13">
        <f t="shared" si="14"/>
        <v>2155</v>
      </c>
      <c r="J38" s="13">
        <f t="shared" si="15"/>
        <v>1805</v>
      </c>
      <c r="K38" s="13">
        <f t="shared" si="16"/>
        <v>2243.75</v>
      </c>
      <c r="L38" s="13">
        <f t="shared" si="17"/>
        <v>1884.2199999999998</v>
      </c>
      <c r="M38" s="13">
        <f t="shared" si="18"/>
        <v>3167.5</v>
      </c>
      <c r="N38" s="13">
        <f t="shared" si="5"/>
        <v>577.5</v>
      </c>
      <c r="O38" s="12">
        <f t="shared" si="22"/>
        <v>1417.5</v>
      </c>
      <c r="P38" s="13">
        <f t="shared" si="23"/>
        <v>693</v>
      </c>
      <c r="Q38" s="13">
        <f t="shared" si="24"/>
        <v>577.5</v>
      </c>
      <c r="R38" s="13">
        <f t="shared" si="25"/>
        <v>3167.5</v>
      </c>
      <c r="S38" s="13">
        <f t="shared" si="26"/>
        <v>577.5</v>
      </c>
      <c r="T38" s="11">
        <f t="shared" si="8"/>
        <v>2590</v>
      </c>
      <c r="U38" s="2"/>
      <c r="V38" s="3"/>
    </row>
    <row r="39" spans="1:22" x14ac:dyDescent="0.3">
      <c r="A39" s="142">
        <v>36</v>
      </c>
      <c r="B39" s="16">
        <f t="shared" si="9"/>
        <v>36</v>
      </c>
      <c r="C39" s="13">
        <f t="shared" si="10"/>
        <v>540</v>
      </c>
      <c r="D39" s="12">
        <f t="shared" si="19"/>
        <v>1080</v>
      </c>
      <c r="E39" s="13">
        <f t="shared" si="20"/>
        <v>648</v>
      </c>
      <c r="F39" s="13">
        <f t="shared" si="21"/>
        <v>540</v>
      </c>
      <c r="G39" s="13">
        <f t="shared" si="12"/>
        <v>2037.75</v>
      </c>
      <c r="H39" s="13">
        <f t="shared" si="13"/>
        <v>2541.4899999999984</v>
      </c>
      <c r="I39" s="13">
        <f t="shared" si="14"/>
        <v>2216.5</v>
      </c>
      <c r="J39" s="13">
        <f t="shared" si="15"/>
        <v>1856.5</v>
      </c>
      <c r="K39" s="13">
        <f t="shared" si="16"/>
        <v>2307.75</v>
      </c>
      <c r="L39" s="13">
        <f t="shared" si="17"/>
        <v>1937.9799999999998</v>
      </c>
      <c r="M39" s="13">
        <f t="shared" si="18"/>
        <v>3258</v>
      </c>
      <c r="N39" s="13">
        <f t="shared" si="5"/>
        <v>594</v>
      </c>
      <c r="O39" s="12">
        <f t="shared" si="22"/>
        <v>1458</v>
      </c>
      <c r="P39" s="13">
        <f t="shared" si="23"/>
        <v>712.8</v>
      </c>
      <c r="Q39" s="13">
        <f t="shared" si="24"/>
        <v>594</v>
      </c>
      <c r="R39" s="13">
        <f t="shared" si="25"/>
        <v>3258</v>
      </c>
      <c r="S39" s="13">
        <f t="shared" si="26"/>
        <v>594</v>
      </c>
      <c r="T39" s="11">
        <f t="shared" si="8"/>
        <v>2664</v>
      </c>
      <c r="U39" s="2"/>
      <c r="V39" s="3"/>
    </row>
    <row r="40" spans="1:22" x14ac:dyDescent="0.3">
      <c r="A40" s="142">
        <v>37</v>
      </c>
      <c r="B40" s="16">
        <f t="shared" si="9"/>
        <v>37</v>
      </c>
      <c r="C40" s="13">
        <f t="shared" si="10"/>
        <v>555</v>
      </c>
      <c r="D40" s="12">
        <f t="shared" si="19"/>
        <v>1110</v>
      </c>
      <c r="E40" s="13">
        <f t="shared" si="20"/>
        <v>666</v>
      </c>
      <c r="F40" s="13">
        <f t="shared" si="21"/>
        <v>555</v>
      </c>
      <c r="G40" s="13">
        <f t="shared" si="12"/>
        <v>2094.25</v>
      </c>
      <c r="H40" s="13">
        <f t="shared" si="13"/>
        <v>2612.0499999999984</v>
      </c>
      <c r="I40" s="13">
        <f t="shared" si="14"/>
        <v>2278</v>
      </c>
      <c r="J40" s="13">
        <f t="shared" si="15"/>
        <v>1908</v>
      </c>
      <c r="K40" s="13">
        <f t="shared" si="16"/>
        <v>2371.75</v>
      </c>
      <c r="L40" s="13">
        <f t="shared" si="17"/>
        <v>1991.7399999999998</v>
      </c>
      <c r="M40" s="13">
        <f t="shared" si="18"/>
        <v>3348.5</v>
      </c>
      <c r="N40" s="13">
        <f t="shared" si="5"/>
        <v>610.5</v>
      </c>
      <c r="O40" s="12">
        <f t="shared" si="22"/>
        <v>1498.5</v>
      </c>
      <c r="P40" s="13">
        <f t="shared" si="23"/>
        <v>732.6</v>
      </c>
      <c r="Q40" s="13">
        <f t="shared" si="24"/>
        <v>610.5</v>
      </c>
      <c r="R40" s="13">
        <f t="shared" si="25"/>
        <v>3348.5</v>
      </c>
      <c r="S40" s="13">
        <f t="shared" si="26"/>
        <v>610.5</v>
      </c>
      <c r="T40" s="11">
        <f t="shared" si="8"/>
        <v>2738</v>
      </c>
      <c r="U40" s="2"/>
      <c r="V40" s="3"/>
    </row>
    <row r="41" spans="1:22" x14ac:dyDescent="0.3">
      <c r="A41" s="142">
        <v>38</v>
      </c>
      <c r="B41" s="16">
        <f t="shared" si="9"/>
        <v>38</v>
      </c>
      <c r="C41" s="13">
        <f t="shared" si="10"/>
        <v>570</v>
      </c>
      <c r="D41" s="12">
        <f t="shared" si="19"/>
        <v>1140</v>
      </c>
      <c r="E41" s="13">
        <f t="shared" si="20"/>
        <v>684</v>
      </c>
      <c r="F41" s="13">
        <f t="shared" si="21"/>
        <v>570</v>
      </c>
      <c r="G41" s="13">
        <f t="shared" si="12"/>
        <v>2150.75</v>
      </c>
      <c r="H41" s="13">
        <f t="shared" si="13"/>
        <v>2682.6099999999983</v>
      </c>
      <c r="I41" s="13">
        <f t="shared" si="14"/>
        <v>2339.5</v>
      </c>
      <c r="J41" s="13">
        <f t="shared" si="15"/>
        <v>1959.5</v>
      </c>
      <c r="K41" s="13">
        <f t="shared" si="16"/>
        <v>2435.75</v>
      </c>
      <c r="L41" s="13">
        <f t="shared" si="17"/>
        <v>2045.4999999999998</v>
      </c>
      <c r="M41" s="13">
        <f t="shared" si="18"/>
        <v>3439</v>
      </c>
      <c r="N41" s="13">
        <f t="shared" si="5"/>
        <v>627</v>
      </c>
      <c r="O41" s="12">
        <f t="shared" si="22"/>
        <v>1539</v>
      </c>
      <c r="P41" s="13">
        <f t="shared" si="23"/>
        <v>752.4</v>
      </c>
      <c r="Q41" s="13">
        <f t="shared" si="24"/>
        <v>627</v>
      </c>
      <c r="R41" s="13">
        <f t="shared" si="25"/>
        <v>3439</v>
      </c>
      <c r="S41" s="13">
        <f t="shared" si="26"/>
        <v>627</v>
      </c>
      <c r="T41" s="11">
        <f t="shared" si="8"/>
        <v>2812</v>
      </c>
      <c r="U41" s="2"/>
      <c r="V41" s="3"/>
    </row>
    <row r="42" spans="1:22" x14ac:dyDescent="0.3">
      <c r="A42" s="142">
        <v>39</v>
      </c>
      <c r="B42" s="16">
        <f t="shared" si="9"/>
        <v>39</v>
      </c>
      <c r="C42" s="13">
        <f t="shared" si="10"/>
        <v>585</v>
      </c>
      <c r="D42" s="12">
        <f t="shared" si="19"/>
        <v>1170</v>
      </c>
      <c r="E42" s="13">
        <f t="shared" si="20"/>
        <v>702</v>
      </c>
      <c r="F42" s="13">
        <f t="shared" si="21"/>
        <v>585</v>
      </c>
      <c r="G42" s="13">
        <f t="shared" si="12"/>
        <v>2207.25</v>
      </c>
      <c r="H42" s="13">
        <f t="shared" si="13"/>
        <v>2753.1699999999983</v>
      </c>
      <c r="I42" s="13">
        <f t="shared" si="14"/>
        <v>2401</v>
      </c>
      <c r="J42" s="13">
        <f t="shared" si="15"/>
        <v>2011</v>
      </c>
      <c r="K42" s="13">
        <f t="shared" si="16"/>
        <v>2499.75</v>
      </c>
      <c r="L42" s="13">
        <f t="shared" si="17"/>
        <v>2099.2599999999998</v>
      </c>
      <c r="M42" s="13">
        <f t="shared" si="18"/>
        <v>3529.5</v>
      </c>
      <c r="N42" s="13">
        <f t="shared" si="5"/>
        <v>643.5</v>
      </c>
      <c r="O42" s="12">
        <f t="shared" si="22"/>
        <v>1579.5</v>
      </c>
      <c r="P42" s="13">
        <f t="shared" si="23"/>
        <v>772.2</v>
      </c>
      <c r="Q42" s="13">
        <f t="shared" si="24"/>
        <v>643.5</v>
      </c>
      <c r="R42" s="13">
        <f t="shared" si="25"/>
        <v>3529.5</v>
      </c>
      <c r="S42" s="13">
        <f t="shared" si="26"/>
        <v>643.5</v>
      </c>
      <c r="T42" s="11">
        <f t="shared" si="8"/>
        <v>2886</v>
      </c>
      <c r="U42" s="2"/>
      <c r="V42" s="3"/>
    </row>
    <row r="43" spans="1:22" x14ac:dyDescent="0.3">
      <c r="A43" s="142">
        <v>40</v>
      </c>
      <c r="B43" s="16">
        <f t="shared" si="9"/>
        <v>40</v>
      </c>
      <c r="C43" s="13">
        <f t="shared" si="10"/>
        <v>600</v>
      </c>
      <c r="D43" s="12">
        <f t="shared" si="19"/>
        <v>1200</v>
      </c>
      <c r="E43" s="13">
        <f t="shared" si="20"/>
        <v>720</v>
      </c>
      <c r="F43" s="13">
        <f t="shared" si="21"/>
        <v>600</v>
      </c>
      <c r="G43" s="13">
        <f t="shared" si="12"/>
        <v>2263.75</v>
      </c>
      <c r="H43" s="13">
        <f t="shared" si="13"/>
        <v>2823.7299999999982</v>
      </c>
      <c r="I43" s="13">
        <f t="shared" si="14"/>
        <v>2462.5</v>
      </c>
      <c r="J43" s="13">
        <f t="shared" si="15"/>
        <v>2062.5</v>
      </c>
      <c r="K43" s="13">
        <f t="shared" si="16"/>
        <v>2563.75</v>
      </c>
      <c r="L43" s="13">
        <f t="shared" si="17"/>
        <v>2153.02</v>
      </c>
      <c r="M43" s="13">
        <f t="shared" si="18"/>
        <v>3620</v>
      </c>
      <c r="N43" s="13">
        <f t="shared" si="5"/>
        <v>660</v>
      </c>
      <c r="O43" s="12">
        <f t="shared" si="22"/>
        <v>1620</v>
      </c>
      <c r="P43" s="13">
        <f t="shared" si="23"/>
        <v>792</v>
      </c>
      <c r="Q43" s="13">
        <f t="shared" si="24"/>
        <v>660</v>
      </c>
      <c r="R43" s="13">
        <f t="shared" si="25"/>
        <v>3620</v>
      </c>
      <c r="S43" s="13">
        <f t="shared" si="26"/>
        <v>660</v>
      </c>
      <c r="T43" s="11">
        <f t="shared" si="8"/>
        <v>2960</v>
      </c>
      <c r="U43" s="2"/>
      <c r="V43" s="3"/>
    </row>
    <row r="44" spans="1:22" x14ac:dyDescent="0.3">
      <c r="A44" s="142">
        <v>41</v>
      </c>
      <c r="B44" s="16">
        <f t="shared" si="9"/>
        <v>41</v>
      </c>
      <c r="C44" s="13">
        <f t="shared" si="10"/>
        <v>615</v>
      </c>
      <c r="D44" s="12">
        <f t="shared" si="19"/>
        <v>1230</v>
      </c>
      <c r="E44" s="13">
        <f t="shared" si="20"/>
        <v>738</v>
      </c>
      <c r="F44" s="13">
        <f t="shared" si="21"/>
        <v>615</v>
      </c>
      <c r="G44" s="13">
        <f t="shared" si="12"/>
        <v>2320.25</v>
      </c>
      <c r="H44" s="13">
        <f t="shared" si="13"/>
        <v>2894.2899999999981</v>
      </c>
      <c r="I44" s="13">
        <f t="shared" si="14"/>
        <v>2524</v>
      </c>
      <c r="J44" s="13">
        <f t="shared" si="15"/>
        <v>2114</v>
      </c>
      <c r="K44" s="13">
        <f t="shared" si="16"/>
        <v>2627.75</v>
      </c>
      <c r="L44" s="13">
        <f t="shared" si="17"/>
        <v>2206.7800000000002</v>
      </c>
      <c r="M44" s="13">
        <f t="shared" si="18"/>
        <v>3710.5</v>
      </c>
      <c r="N44" s="13">
        <f t="shared" si="5"/>
        <v>676.5</v>
      </c>
      <c r="O44" s="12">
        <f t="shared" si="22"/>
        <v>1660.5</v>
      </c>
      <c r="P44" s="13">
        <f t="shared" si="23"/>
        <v>811.8</v>
      </c>
      <c r="Q44" s="13">
        <f t="shared" si="24"/>
        <v>676.5</v>
      </c>
      <c r="R44" s="13">
        <f t="shared" si="25"/>
        <v>3710.5</v>
      </c>
      <c r="S44" s="13">
        <f t="shared" si="26"/>
        <v>676.5</v>
      </c>
      <c r="T44" s="11">
        <f t="shared" si="8"/>
        <v>3034</v>
      </c>
      <c r="U44" s="2"/>
      <c r="V44" s="3"/>
    </row>
    <row r="45" spans="1:22" x14ac:dyDescent="0.3">
      <c r="A45" s="142">
        <v>42</v>
      </c>
      <c r="B45" s="16">
        <f t="shared" si="9"/>
        <v>42</v>
      </c>
      <c r="C45" s="13">
        <f t="shared" si="10"/>
        <v>630</v>
      </c>
      <c r="D45" s="12">
        <f t="shared" si="19"/>
        <v>1260</v>
      </c>
      <c r="E45" s="13">
        <f t="shared" si="20"/>
        <v>756</v>
      </c>
      <c r="F45" s="13">
        <f t="shared" si="21"/>
        <v>630</v>
      </c>
      <c r="G45" s="13">
        <f t="shared" si="12"/>
        <v>2376.75</v>
      </c>
      <c r="H45" s="13">
        <f t="shared" si="13"/>
        <v>2964.8499999999981</v>
      </c>
      <c r="I45" s="13">
        <f t="shared" si="14"/>
        <v>2585.5</v>
      </c>
      <c r="J45" s="13">
        <f t="shared" si="15"/>
        <v>2165.5</v>
      </c>
      <c r="K45" s="13">
        <f t="shared" si="16"/>
        <v>2691.75</v>
      </c>
      <c r="L45" s="13">
        <f t="shared" si="17"/>
        <v>2260.5400000000004</v>
      </c>
      <c r="M45" s="13">
        <f t="shared" si="18"/>
        <v>3801</v>
      </c>
      <c r="N45" s="13">
        <f t="shared" si="5"/>
        <v>693</v>
      </c>
      <c r="O45" s="12">
        <f t="shared" si="22"/>
        <v>1701</v>
      </c>
      <c r="P45" s="13">
        <f t="shared" si="23"/>
        <v>831.6</v>
      </c>
      <c r="Q45" s="13">
        <f t="shared" si="24"/>
        <v>693</v>
      </c>
      <c r="R45" s="13">
        <f t="shared" si="25"/>
        <v>3801</v>
      </c>
      <c r="S45" s="13">
        <f t="shared" si="26"/>
        <v>693</v>
      </c>
      <c r="T45" s="11">
        <f t="shared" si="8"/>
        <v>3108</v>
      </c>
      <c r="U45" s="2"/>
      <c r="V45" s="3"/>
    </row>
    <row r="46" spans="1:22" x14ac:dyDescent="0.3">
      <c r="A46" s="142">
        <v>43</v>
      </c>
      <c r="B46" s="16">
        <f t="shared" si="9"/>
        <v>43</v>
      </c>
      <c r="C46" s="13">
        <f t="shared" si="10"/>
        <v>645</v>
      </c>
      <c r="D46" s="12">
        <f t="shared" si="19"/>
        <v>1290</v>
      </c>
      <c r="E46" s="13">
        <f t="shared" si="20"/>
        <v>774</v>
      </c>
      <c r="F46" s="13">
        <f t="shared" si="21"/>
        <v>645</v>
      </c>
      <c r="G46" s="13">
        <f t="shared" si="12"/>
        <v>2433.25</v>
      </c>
      <c r="H46" s="13">
        <f t="shared" si="13"/>
        <v>3035.409999999998</v>
      </c>
      <c r="I46" s="13">
        <f t="shared" si="14"/>
        <v>2647</v>
      </c>
      <c r="J46" s="13">
        <f t="shared" si="15"/>
        <v>2217</v>
      </c>
      <c r="K46" s="13">
        <f t="shared" si="16"/>
        <v>2755.75</v>
      </c>
      <c r="L46" s="13">
        <f t="shared" si="17"/>
        <v>2314.3000000000006</v>
      </c>
      <c r="M46" s="13">
        <f t="shared" si="18"/>
        <v>3891.5</v>
      </c>
      <c r="N46" s="13">
        <f t="shared" si="5"/>
        <v>709.5</v>
      </c>
      <c r="O46" s="12">
        <f t="shared" si="22"/>
        <v>1741.5</v>
      </c>
      <c r="P46" s="13">
        <f t="shared" si="23"/>
        <v>851.4</v>
      </c>
      <c r="Q46" s="13">
        <f t="shared" si="24"/>
        <v>709.5</v>
      </c>
      <c r="R46" s="13">
        <f t="shared" si="25"/>
        <v>3891.5</v>
      </c>
      <c r="S46" s="13">
        <f t="shared" si="26"/>
        <v>709.5</v>
      </c>
      <c r="T46" s="11">
        <f t="shared" si="8"/>
        <v>3182</v>
      </c>
      <c r="U46" s="2"/>
      <c r="V46" s="3"/>
    </row>
    <row r="47" spans="1:22" x14ac:dyDescent="0.3">
      <c r="A47" s="142">
        <v>44</v>
      </c>
      <c r="B47" s="16">
        <f t="shared" si="9"/>
        <v>44</v>
      </c>
      <c r="C47" s="13">
        <f t="shared" si="10"/>
        <v>660</v>
      </c>
      <c r="D47" s="12">
        <f t="shared" si="19"/>
        <v>1320</v>
      </c>
      <c r="E47" s="13">
        <f t="shared" si="20"/>
        <v>792</v>
      </c>
      <c r="F47" s="13">
        <f t="shared" si="21"/>
        <v>660</v>
      </c>
      <c r="G47" s="13">
        <f t="shared" si="12"/>
        <v>2489.75</v>
      </c>
      <c r="H47" s="13">
        <f t="shared" si="13"/>
        <v>3105.969999999998</v>
      </c>
      <c r="I47" s="13">
        <f t="shared" si="14"/>
        <v>2708.5</v>
      </c>
      <c r="J47" s="13">
        <f t="shared" si="15"/>
        <v>2268.5</v>
      </c>
      <c r="K47" s="13">
        <f t="shared" si="16"/>
        <v>2819.75</v>
      </c>
      <c r="L47" s="13">
        <f t="shared" si="17"/>
        <v>2368.0600000000009</v>
      </c>
      <c r="M47" s="13">
        <f t="shared" si="18"/>
        <v>3982</v>
      </c>
      <c r="N47" s="13">
        <f t="shared" si="5"/>
        <v>726</v>
      </c>
      <c r="O47" s="12">
        <f t="shared" si="22"/>
        <v>1782</v>
      </c>
      <c r="P47" s="13">
        <f t="shared" si="23"/>
        <v>871.2</v>
      </c>
      <c r="Q47" s="13">
        <f t="shared" si="24"/>
        <v>726</v>
      </c>
      <c r="R47" s="13">
        <f t="shared" si="25"/>
        <v>3982</v>
      </c>
      <c r="S47" s="13">
        <f t="shared" si="26"/>
        <v>726</v>
      </c>
      <c r="T47" s="11">
        <f t="shared" si="8"/>
        <v>3256</v>
      </c>
      <c r="U47" s="2"/>
      <c r="V47" s="3"/>
    </row>
    <row r="48" spans="1:22" x14ac:dyDescent="0.3">
      <c r="A48" s="142">
        <v>45</v>
      </c>
      <c r="B48" s="16">
        <f t="shared" si="9"/>
        <v>45</v>
      </c>
      <c r="C48" s="13">
        <f t="shared" si="10"/>
        <v>675</v>
      </c>
      <c r="D48" s="12">
        <f t="shared" si="19"/>
        <v>1350</v>
      </c>
      <c r="E48" s="13">
        <f t="shared" si="20"/>
        <v>810</v>
      </c>
      <c r="F48" s="13">
        <f t="shared" si="21"/>
        <v>675</v>
      </c>
      <c r="G48" s="13">
        <f t="shared" si="12"/>
        <v>2546.25</v>
      </c>
      <c r="H48" s="13">
        <f t="shared" si="13"/>
        <v>3176.5299999999979</v>
      </c>
      <c r="I48" s="13">
        <f t="shared" si="14"/>
        <v>2770</v>
      </c>
      <c r="J48" s="13">
        <f t="shared" si="15"/>
        <v>2320</v>
      </c>
      <c r="K48" s="13">
        <f t="shared" si="16"/>
        <v>2883.75</v>
      </c>
      <c r="L48" s="13">
        <f t="shared" si="17"/>
        <v>2421.8200000000011</v>
      </c>
      <c r="M48" s="13">
        <f t="shared" si="18"/>
        <v>4072.5</v>
      </c>
      <c r="N48" s="13">
        <f t="shared" si="5"/>
        <v>742.5</v>
      </c>
      <c r="O48" s="12">
        <f t="shared" si="22"/>
        <v>1822.5</v>
      </c>
      <c r="P48" s="13">
        <f t="shared" si="23"/>
        <v>891</v>
      </c>
      <c r="Q48" s="13">
        <f t="shared" si="24"/>
        <v>742.5</v>
      </c>
      <c r="R48" s="13">
        <f t="shared" si="25"/>
        <v>4072.5</v>
      </c>
      <c r="S48" s="13">
        <f t="shared" si="26"/>
        <v>742.5</v>
      </c>
      <c r="T48" s="11">
        <f t="shared" si="8"/>
        <v>3330</v>
      </c>
      <c r="U48" s="2"/>
      <c r="V48" s="3"/>
    </row>
    <row r="49" spans="1:22" x14ac:dyDescent="0.3">
      <c r="A49" s="142">
        <v>46</v>
      </c>
      <c r="B49" s="16">
        <f t="shared" si="9"/>
        <v>46</v>
      </c>
      <c r="C49" s="13">
        <f t="shared" si="10"/>
        <v>690</v>
      </c>
      <c r="D49" s="12">
        <f t="shared" si="19"/>
        <v>1380</v>
      </c>
      <c r="E49" s="13">
        <f t="shared" si="20"/>
        <v>828</v>
      </c>
      <c r="F49" s="13">
        <f t="shared" si="21"/>
        <v>690</v>
      </c>
      <c r="G49" s="13">
        <f t="shared" si="12"/>
        <v>2602.75</v>
      </c>
      <c r="H49" s="13">
        <f t="shared" si="13"/>
        <v>3247.0899999999979</v>
      </c>
      <c r="I49" s="13">
        <f t="shared" si="14"/>
        <v>2831.5</v>
      </c>
      <c r="J49" s="13">
        <f t="shared" si="15"/>
        <v>2371.5</v>
      </c>
      <c r="K49" s="13">
        <f t="shared" si="16"/>
        <v>2947.75</v>
      </c>
      <c r="L49" s="13">
        <f t="shared" si="17"/>
        <v>2475.5800000000013</v>
      </c>
      <c r="M49" s="13">
        <f t="shared" si="18"/>
        <v>4163</v>
      </c>
      <c r="N49" s="13">
        <f t="shared" si="5"/>
        <v>759</v>
      </c>
      <c r="O49" s="12">
        <f t="shared" si="22"/>
        <v>1863</v>
      </c>
      <c r="P49" s="13">
        <f t="shared" si="23"/>
        <v>910.8</v>
      </c>
      <c r="Q49" s="13">
        <f t="shared" si="24"/>
        <v>759</v>
      </c>
      <c r="R49" s="13">
        <f t="shared" si="25"/>
        <v>4163</v>
      </c>
      <c r="S49" s="13">
        <f t="shared" si="26"/>
        <v>759</v>
      </c>
      <c r="T49" s="11">
        <f t="shared" si="8"/>
        <v>3404</v>
      </c>
      <c r="U49" s="2"/>
      <c r="V49" s="3"/>
    </row>
    <row r="50" spans="1:22" x14ac:dyDescent="0.3">
      <c r="A50" s="142">
        <v>47</v>
      </c>
      <c r="B50" s="16">
        <f t="shared" si="9"/>
        <v>47</v>
      </c>
      <c r="C50" s="13">
        <f t="shared" si="10"/>
        <v>705</v>
      </c>
      <c r="D50" s="12">
        <f t="shared" si="19"/>
        <v>1410</v>
      </c>
      <c r="E50" s="13">
        <f t="shared" si="20"/>
        <v>846</v>
      </c>
      <c r="F50" s="13">
        <f t="shared" si="21"/>
        <v>705</v>
      </c>
      <c r="G50" s="13">
        <f t="shared" si="12"/>
        <v>2659.25</v>
      </c>
      <c r="H50" s="13">
        <f t="shared" si="13"/>
        <v>3317.6499999999978</v>
      </c>
      <c r="I50" s="13">
        <f t="shared" si="14"/>
        <v>2893</v>
      </c>
      <c r="J50" s="13">
        <f t="shared" si="15"/>
        <v>2423</v>
      </c>
      <c r="K50" s="13">
        <f t="shared" si="16"/>
        <v>3011.75</v>
      </c>
      <c r="L50" s="13">
        <f t="shared" si="17"/>
        <v>2529.3400000000015</v>
      </c>
      <c r="M50" s="13">
        <f t="shared" si="18"/>
        <v>4253.5</v>
      </c>
      <c r="N50" s="13">
        <f t="shared" si="5"/>
        <v>775.5</v>
      </c>
      <c r="O50" s="12">
        <f t="shared" si="22"/>
        <v>1903.5</v>
      </c>
      <c r="P50" s="13">
        <f t="shared" si="23"/>
        <v>930.6</v>
      </c>
      <c r="Q50" s="13">
        <f t="shared" si="24"/>
        <v>775.5</v>
      </c>
      <c r="R50" s="13">
        <f t="shared" si="25"/>
        <v>4253.5</v>
      </c>
      <c r="S50" s="13">
        <f t="shared" si="26"/>
        <v>775.5</v>
      </c>
      <c r="T50" s="11">
        <f t="shared" si="8"/>
        <v>3478</v>
      </c>
      <c r="U50" s="2"/>
      <c r="V50" s="3"/>
    </row>
    <row r="51" spans="1:22" x14ac:dyDescent="0.3">
      <c r="A51" s="142">
        <v>48</v>
      </c>
      <c r="B51" s="16">
        <f t="shared" si="9"/>
        <v>48</v>
      </c>
      <c r="C51" s="13">
        <f t="shared" si="10"/>
        <v>720</v>
      </c>
      <c r="D51" s="12">
        <f t="shared" si="19"/>
        <v>1440</v>
      </c>
      <c r="E51" s="13">
        <f t="shared" si="20"/>
        <v>864</v>
      </c>
      <c r="F51" s="13">
        <f t="shared" si="21"/>
        <v>720</v>
      </c>
      <c r="G51" s="13">
        <f t="shared" si="12"/>
        <v>2715.75</v>
      </c>
      <c r="H51" s="13">
        <f t="shared" si="13"/>
        <v>3388.2099999999978</v>
      </c>
      <c r="I51" s="13">
        <f t="shared" si="14"/>
        <v>2954.5</v>
      </c>
      <c r="J51" s="13">
        <f t="shared" si="15"/>
        <v>2474.5</v>
      </c>
      <c r="K51" s="13">
        <f t="shared" si="16"/>
        <v>3075.75</v>
      </c>
      <c r="L51" s="13">
        <f t="shared" si="17"/>
        <v>2583.1000000000017</v>
      </c>
      <c r="M51" s="13">
        <f t="shared" si="18"/>
        <v>4344</v>
      </c>
      <c r="N51" s="13">
        <f t="shared" si="5"/>
        <v>792</v>
      </c>
      <c r="O51" s="12">
        <f t="shared" si="22"/>
        <v>1944</v>
      </c>
      <c r="P51" s="13">
        <f t="shared" si="23"/>
        <v>950.4</v>
      </c>
      <c r="Q51" s="13">
        <f t="shared" si="24"/>
        <v>792</v>
      </c>
      <c r="R51" s="13">
        <f t="shared" si="25"/>
        <v>4344</v>
      </c>
      <c r="S51" s="13">
        <f t="shared" si="26"/>
        <v>792</v>
      </c>
      <c r="T51" s="11">
        <f t="shared" si="8"/>
        <v>3552</v>
      </c>
      <c r="U51" s="2"/>
      <c r="V51" s="3"/>
    </row>
    <row r="52" spans="1:22" x14ac:dyDescent="0.3">
      <c r="A52" s="142">
        <v>49</v>
      </c>
      <c r="B52" s="16">
        <f t="shared" si="9"/>
        <v>49</v>
      </c>
      <c r="C52" s="13">
        <f t="shared" si="10"/>
        <v>735</v>
      </c>
      <c r="D52" s="12">
        <f t="shared" si="19"/>
        <v>1470</v>
      </c>
      <c r="E52" s="13">
        <f t="shared" si="20"/>
        <v>882</v>
      </c>
      <c r="F52" s="13">
        <f t="shared" si="21"/>
        <v>735</v>
      </c>
      <c r="G52" s="13">
        <f t="shared" si="12"/>
        <v>2772.25</v>
      </c>
      <c r="H52" s="13">
        <f t="shared" si="13"/>
        <v>3458.7699999999977</v>
      </c>
      <c r="I52" s="13">
        <f t="shared" si="14"/>
        <v>3016</v>
      </c>
      <c r="J52" s="13">
        <f t="shared" si="15"/>
        <v>2526</v>
      </c>
      <c r="K52" s="13">
        <f t="shared" si="16"/>
        <v>3139.75</v>
      </c>
      <c r="L52" s="13">
        <f t="shared" si="17"/>
        <v>2636.8600000000019</v>
      </c>
      <c r="M52" s="13">
        <f t="shared" si="18"/>
        <v>4434.5</v>
      </c>
      <c r="N52" s="13">
        <f t="shared" si="5"/>
        <v>808.5</v>
      </c>
      <c r="O52" s="12">
        <f t="shared" si="22"/>
        <v>1984.5</v>
      </c>
      <c r="P52" s="13">
        <f t="shared" si="23"/>
        <v>970.2</v>
      </c>
      <c r="Q52" s="13">
        <f t="shared" si="24"/>
        <v>808.5</v>
      </c>
      <c r="R52" s="13">
        <f t="shared" si="25"/>
        <v>4434.5</v>
      </c>
      <c r="S52" s="13">
        <f t="shared" si="26"/>
        <v>808.5</v>
      </c>
      <c r="T52" s="11">
        <f t="shared" si="8"/>
        <v>3626</v>
      </c>
      <c r="U52" s="2"/>
      <c r="V52" s="3"/>
    </row>
    <row r="53" spans="1:22" ht="15" thickBot="1" x14ac:dyDescent="0.35">
      <c r="A53" s="143">
        <v>50</v>
      </c>
      <c r="B53" s="144">
        <f t="shared" si="9"/>
        <v>50</v>
      </c>
      <c r="C53" s="146">
        <f t="shared" si="10"/>
        <v>750</v>
      </c>
      <c r="D53" s="145">
        <f t="shared" si="19"/>
        <v>1500</v>
      </c>
      <c r="E53" s="146">
        <f t="shared" si="20"/>
        <v>900</v>
      </c>
      <c r="F53" s="146">
        <f t="shared" si="21"/>
        <v>750</v>
      </c>
      <c r="G53" s="146">
        <f t="shared" si="12"/>
        <v>2828.75</v>
      </c>
      <c r="H53" s="146">
        <f t="shared" si="13"/>
        <v>3529.3299999999977</v>
      </c>
      <c r="I53" s="146">
        <f t="shared" si="14"/>
        <v>3077.5</v>
      </c>
      <c r="J53" s="146">
        <f t="shared" si="15"/>
        <v>2577.5</v>
      </c>
      <c r="K53" s="146">
        <f t="shared" si="16"/>
        <v>3203.75</v>
      </c>
      <c r="L53" s="146">
        <f t="shared" si="17"/>
        <v>2690.6200000000022</v>
      </c>
      <c r="M53" s="146">
        <f t="shared" si="18"/>
        <v>4525</v>
      </c>
      <c r="N53" s="146">
        <f t="shared" si="5"/>
        <v>825</v>
      </c>
      <c r="O53" s="145">
        <f t="shared" si="22"/>
        <v>2025</v>
      </c>
      <c r="P53" s="146">
        <f t="shared" si="23"/>
        <v>990</v>
      </c>
      <c r="Q53" s="146">
        <f t="shared" si="24"/>
        <v>825</v>
      </c>
      <c r="R53" s="146">
        <f t="shared" si="25"/>
        <v>4525</v>
      </c>
      <c r="S53" s="146">
        <f t="shared" si="26"/>
        <v>825</v>
      </c>
      <c r="T53" s="38">
        <f t="shared" si="8"/>
        <v>3700</v>
      </c>
      <c r="U53" s="6"/>
      <c r="V53" s="7"/>
    </row>
    <row r="54" spans="1:22" x14ac:dyDescent="0.3">
      <c r="A54" s="8"/>
      <c r="B54" s="22"/>
      <c r="C54" s="14"/>
      <c r="D54" s="8"/>
      <c r="E54" s="14"/>
      <c r="F54" s="14"/>
      <c r="G54" s="8"/>
      <c r="H54" s="14"/>
      <c r="I54" s="14"/>
      <c r="J54" s="14"/>
      <c r="K54" s="14"/>
      <c r="L54" s="14"/>
      <c r="M54" s="14"/>
      <c r="N54" s="14"/>
      <c r="O54" s="8"/>
      <c r="P54" s="14"/>
      <c r="Q54" s="14"/>
      <c r="R54" s="14"/>
      <c r="S54" s="14"/>
      <c r="T54" s="10"/>
    </row>
    <row r="55" spans="1:22" x14ac:dyDescent="0.3">
      <c r="A55" s="8"/>
      <c r="B55" s="22"/>
      <c r="C55" s="14"/>
      <c r="D55" s="8"/>
      <c r="E55" s="14"/>
      <c r="F55" s="14"/>
      <c r="G55" s="8"/>
      <c r="H55" s="14"/>
      <c r="I55" s="14"/>
      <c r="J55" s="14"/>
      <c r="K55" s="14"/>
      <c r="L55" s="14"/>
      <c r="M55" s="14"/>
      <c r="N55" s="14"/>
      <c r="O55" s="8"/>
      <c r="P55" s="14"/>
      <c r="Q55" s="14"/>
      <c r="R55" s="14"/>
      <c r="S55" s="14"/>
      <c r="T55" s="10"/>
    </row>
    <row r="56" spans="1:22" x14ac:dyDescent="0.3">
      <c r="A56" s="8"/>
      <c r="B56" s="22"/>
      <c r="C56" s="14"/>
      <c r="D56" s="8"/>
      <c r="E56" s="14"/>
      <c r="F56" s="14"/>
      <c r="G56" s="8"/>
      <c r="H56" s="14"/>
      <c r="I56" s="14"/>
      <c r="J56" s="14"/>
      <c r="K56" s="14"/>
      <c r="L56" s="14"/>
      <c r="M56" s="14"/>
      <c r="N56" s="14"/>
      <c r="O56" s="8"/>
      <c r="P56" s="14"/>
      <c r="Q56" s="14"/>
      <c r="R56" s="14"/>
      <c r="S56" s="14"/>
      <c r="T56" s="10"/>
    </row>
    <row r="57" spans="1:22" x14ac:dyDescent="0.3">
      <c r="A57" s="8"/>
      <c r="B57" s="22"/>
      <c r="C57" s="14"/>
      <c r="D57" s="8"/>
      <c r="E57" s="14"/>
      <c r="F57" s="14"/>
      <c r="G57" s="8"/>
      <c r="H57" s="14"/>
      <c r="I57" s="14"/>
      <c r="J57" s="14"/>
      <c r="K57" s="14"/>
      <c r="L57" s="14"/>
      <c r="M57" s="14"/>
      <c r="N57" s="14"/>
      <c r="O57" s="8"/>
      <c r="P57" s="14"/>
      <c r="Q57" s="14"/>
      <c r="R57" s="14"/>
      <c r="S57" s="14"/>
      <c r="T57" s="10"/>
    </row>
    <row r="58" spans="1:22" x14ac:dyDescent="0.3">
      <c r="A58" s="8"/>
      <c r="B58" s="22"/>
      <c r="C58" s="14"/>
      <c r="D58" s="8"/>
      <c r="E58" s="14"/>
      <c r="F58" s="14"/>
      <c r="G58" s="8"/>
      <c r="H58" s="14"/>
      <c r="I58" s="14"/>
      <c r="J58" s="14"/>
      <c r="K58" s="14"/>
      <c r="L58" s="14"/>
      <c r="M58" s="14"/>
      <c r="N58" s="14"/>
      <c r="O58" s="8"/>
      <c r="P58" s="14"/>
      <c r="Q58" s="14"/>
      <c r="R58" s="14"/>
      <c r="S58" s="14"/>
      <c r="T58" s="10"/>
    </row>
    <row r="59" spans="1:22" x14ac:dyDescent="0.3">
      <c r="A59" s="8"/>
      <c r="B59" s="22"/>
      <c r="C59" s="14"/>
      <c r="D59" s="8"/>
      <c r="E59" s="14"/>
      <c r="F59" s="14"/>
      <c r="G59" s="8"/>
      <c r="H59" s="14"/>
      <c r="I59" s="14"/>
      <c r="J59" s="14"/>
      <c r="K59" s="14"/>
      <c r="L59" s="14"/>
      <c r="M59" s="14"/>
      <c r="N59" s="14"/>
      <c r="O59" s="8"/>
      <c r="P59" s="14"/>
      <c r="Q59" s="14"/>
      <c r="R59" s="14"/>
      <c r="S59" s="14"/>
      <c r="T59" s="10"/>
    </row>
    <row r="60" spans="1:22" x14ac:dyDescent="0.3">
      <c r="A60" s="8"/>
      <c r="B60" s="22"/>
      <c r="C60" s="14"/>
      <c r="D60" s="8"/>
      <c r="E60" s="14"/>
      <c r="F60" s="14"/>
      <c r="G60" s="8"/>
      <c r="H60" s="14"/>
      <c r="I60" s="14"/>
      <c r="J60" s="14"/>
      <c r="K60" s="14"/>
      <c r="L60" s="14"/>
      <c r="M60" s="14"/>
      <c r="N60" s="14"/>
      <c r="O60" s="8"/>
      <c r="P60" s="14"/>
      <c r="Q60" s="14"/>
      <c r="R60" s="14"/>
      <c r="S60" s="14"/>
      <c r="T60" s="10"/>
    </row>
    <row r="61" spans="1:22" x14ac:dyDescent="0.3">
      <c r="A61" s="8"/>
      <c r="B61" s="22"/>
      <c r="C61" s="14"/>
      <c r="D61" s="8"/>
      <c r="E61" s="14"/>
      <c r="F61" s="14"/>
      <c r="G61" s="8"/>
      <c r="H61" s="14"/>
      <c r="I61" s="14"/>
      <c r="J61" s="14"/>
      <c r="K61" s="14"/>
      <c r="L61" s="14"/>
      <c r="M61" s="14"/>
      <c r="N61" s="14"/>
      <c r="O61" s="8"/>
      <c r="P61" s="14"/>
      <c r="Q61" s="14"/>
      <c r="R61" s="14"/>
      <c r="S61" s="14"/>
      <c r="T61" s="10"/>
    </row>
    <row r="62" spans="1:22" x14ac:dyDescent="0.3">
      <c r="A62" s="8"/>
      <c r="B62" s="22"/>
      <c r="C62" s="14"/>
      <c r="D62" s="8"/>
      <c r="E62" s="14"/>
      <c r="F62" s="14"/>
      <c r="G62" s="8"/>
      <c r="H62" s="14"/>
      <c r="I62" s="14"/>
      <c r="J62" s="14"/>
      <c r="K62" s="14"/>
      <c r="L62" s="14"/>
      <c r="M62" s="14"/>
      <c r="N62" s="14"/>
      <c r="O62" s="8"/>
      <c r="P62" s="14"/>
      <c r="Q62" s="14"/>
      <c r="R62" s="14"/>
      <c r="S62" s="14"/>
      <c r="T62" s="10"/>
    </row>
    <row r="63" spans="1:22" x14ac:dyDescent="0.3">
      <c r="A63" s="8"/>
      <c r="B63" s="22"/>
      <c r="C63" s="14"/>
      <c r="D63" s="8"/>
      <c r="E63" s="14"/>
      <c r="F63" s="14"/>
      <c r="G63" s="8"/>
      <c r="H63" s="14"/>
      <c r="I63" s="14"/>
      <c r="J63" s="14"/>
      <c r="K63" s="14"/>
      <c r="L63" s="14"/>
      <c r="M63" s="14"/>
      <c r="N63" s="14"/>
      <c r="O63" s="8"/>
      <c r="P63" s="14"/>
      <c r="Q63" s="14"/>
      <c r="R63" s="14"/>
      <c r="S63" s="14"/>
      <c r="T63" s="10"/>
    </row>
    <row r="64" spans="1:22" x14ac:dyDescent="0.3">
      <c r="A64" s="8"/>
      <c r="B64" s="22"/>
      <c r="C64" s="14"/>
      <c r="D64" s="8"/>
      <c r="E64" s="14"/>
      <c r="F64" s="14"/>
      <c r="G64" s="8"/>
      <c r="H64" s="14"/>
      <c r="I64" s="14"/>
      <c r="J64" s="14"/>
      <c r="K64" s="14"/>
      <c r="L64" s="14"/>
      <c r="M64" s="14"/>
      <c r="N64" s="14"/>
      <c r="O64" s="8"/>
      <c r="P64" s="14"/>
      <c r="Q64" s="14"/>
      <c r="R64" s="14"/>
      <c r="S64" s="14"/>
      <c r="T64" s="10"/>
    </row>
    <row r="65" spans="1:20" x14ac:dyDescent="0.3">
      <c r="A65" s="8"/>
      <c r="B65" s="22"/>
      <c r="C65" s="14"/>
      <c r="D65" s="8"/>
      <c r="E65" s="14"/>
      <c r="F65" s="14"/>
      <c r="G65" s="8"/>
      <c r="H65" s="14"/>
      <c r="I65" s="14"/>
      <c r="J65" s="14"/>
      <c r="K65" s="14"/>
      <c r="L65" s="14"/>
      <c r="M65" s="14"/>
      <c r="N65" s="14"/>
      <c r="O65" s="8"/>
      <c r="P65" s="14"/>
      <c r="Q65" s="14"/>
      <c r="R65" s="14"/>
      <c r="S65" s="14"/>
      <c r="T65" s="10"/>
    </row>
    <row r="66" spans="1:20" x14ac:dyDescent="0.3">
      <c r="A66" s="8"/>
      <c r="B66" s="22"/>
      <c r="C66" s="14"/>
      <c r="D66" s="8"/>
      <c r="E66" s="14"/>
      <c r="F66" s="14"/>
      <c r="G66" s="8"/>
      <c r="H66" s="14"/>
      <c r="I66" s="14"/>
      <c r="J66" s="14"/>
      <c r="K66" s="14"/>
      <c r="L66" s="14"/>
      <c r="M66" s="14"/>
      <c r="N66" s="14"/>
      <c r="O66" s="8"/>
      <c r="P66" s="14"/>
      <c r="Q66" s="14"/>
      <c r="R66" s="14"/>
      <c r="S66" s="14"/>
      <c r="T66" s="10"/>
    </row>
    <row r="67" spans="1:20" x14ac:dyDescent="0.3">
      <c r="A67" s="8"/>
      <c r="B67" s="22"/>
      <c r="C67" s="14"/>
      <c r="D67" s="8"/>
      <c r="E67" s="14"/>
      <c r="F67" s="14"/>
      <c r="G67" s="8"/>
      <c r="H67" s="14"/>
      <c r="I67" s="14"/>
      <c r="J67" s="14"/>
      <c r="K67" s="14"/>
      <c r="L67" s="14"/>
      <c r="M67" s="14"/>
      <c r="N67" s="14"/>
      <c r="O67" s="8"/>
      <c r="P67" s="14"/>
      <c r="Q67" s="14"/>
      <c r="R67" s="14"/>
      <c r="S67" s="14"/>
      <c r="T67" s="10"/>
    </row>
    <row r="68" spans="1:20" x14ac:dyDescent="0.3">
      <c r="A68" s="8"/>
      <c r="B68" s="22"/>
      <c r="C68" s="14"/>
      <c r="D68" s="8"/>
      <c r="E68" s="14"/>
      <c r="F68" s="14"/>
      <c r="G68" s="8"/>
      <c r="H68" s="14"/>
      <c r="I68" s="14"/>
      <c r="J68" s="14"/>
      <c r="K68" s="14"/>
      <c r="L68" s="14"/>
      <c r="M68" s="14"/>
      <c r="N68" s="14"/>
      <c r="O68" s="8"/>
      <c r="P68" s="14"/>
      <c r="Q68" s="14"/>
      <c r="R68" s="14"/>
      <c r="S68" s="14"/>
      <c r="T68" s="10"/>
    </row>
    <row r="69" spans="1:20" x14ac:dyDescent="0.3">
      <c r="A69" s="8"/>
      <c r="B69" s="22"/>
      <c r="C69" s="14"/>
      <c r="D69" s="8"/>
      <c r="E69" s="14"/>
      <c r="F69" s="14"/>
      <c r="G69" s="8"/>
      <c r="H69" s="14"/>
      <c r="I69" s="14"/>
      <c r="J69" s="14"/>
      <c r="K69" s="14"/>
      <c r="L69" s="14"/>
      <c r="M69" s="14"/>
      <c r="N69" s="14"/>
      <c r="O69" s="8"/>
      <c r="P69" s="14"/>
      <c r="Q69" s="14"/>
      <c r="R69" s="14"/>
      <c r="S69" s="14"/>
      <c r="T69" s="10"/>
    </row>
    <row r="70" spans="1:20" x14ac:dyDescent="0.3">
      <c r="A70" s="8"/>
      <c r="B70" s="22"/>
      <c r="C70" s="14"/>
      <c r="D70" s="8"/>
      <c r="E70" s="14"/>
      <c r="F70" s="14"/>
      <c r="G70" s="8"/>
      <c r="H70" s="14"/>
      <c r="I70" s="14"/>
      <c r="J70" s="14"/>
      <c r="K70" s="14"/>
      <c r="L70" s="14"/>
      <c r="M70" s="14"/>
      <c r="N70" s="14"/>
      <c r="O70" s="8"/>
      <c r="P70" s="14"/>
      <c r="Q70" s="14"/>
      <c r="R70" s="14"/>
      <c r="S70" s="14"/>
      <c r="T70" s="10"/>
    </row>
    <row r="71" spans="1:20" x14ac:dyDescent="0.3">
      <c r="A71" s="8"/>
      <c r="B71" s="22"/>
      <c r="C71" s="14"/>
      <c r="D71" s="8"/>
      <c r="E71" s="14"/>
      <c r="F71" s="14"/>
      <c r="G71" s="8"/>
      <c r="H71" s="14"/>
      <c r="I71" s="14"/>
      <c r="J71" s="14"/>
      <c r="K71" s="14"/>
      <c r="L71" s="14"/>
      <c r="M71" s="14"/>
      <c r="N71" s="14"/>
      <c r="O71" s="8"/>
      <c r="P71" s="14"/>
      <c r="Q71" s="14"/>
      <c r="R71" s="14"/>
      <c r="S71" s="14"/>
      <c r="T71" s="10"/>
    </row>
    <row r="72" spans="1:20" x14ac:dyDescent="0.3">
      <c r="A72" s="8"/>
      <c r="B72" s="22"/>
      <c r="C72" s="14"/>
      <c r="D72" s="8"/>
      <c r="E72" s="14"/>
      <c r="F72" s="14"/>
      <c r="G72" s="8"/>
      <c r="H72" s="14"/>
      <c r="I72" s="14"/>
      <c r="J72" s="14"/>
      <c r="K72" s="14"/>
      <c r="L72" s="14"/>
      <c r="M72" s="14"/>
      <c r="N72" s="14"/>
      <c r="O72" s="8"/>
      <c r="P72" s="14"/>
      <c r="Q72" s="14"/>
      <c r="R72" s="14"/>
      <c r="S72" s="14"/>
      <c r="T72" s="10"/>
    </row>
    <row r="73" spans="1:20" x14ac:dyDescent="0.3">
      <c r="A73" s="8"/>
      <c r="B73" s="22"/>
      <c r="C73" s="14"/>
      <c r="D73" s="8"/>
      <c r="E73" s="14"/>
      <c r="F73" s="14"/>
      <c r="G73" s="8"/>
      <c r="H73" s="14"/>
      <c r="I73" s="14"/>
      <c r="J73" s="14"/>
      <c r="K73" s="14"/>
      <c r="L73" s="14"/>
      <c r="M73" s="14"/>
      <c r="N73" s="14"/>
      <c r="O73" s="8"/>
      <c r="P73" s="14"/>
      <c r="Q73" s="14"/>
      <c r="R73" s="14"/>
      <c r="S73" s="14"/>
      <c r="T73" s="10"/>
    </row>
    <row r="74" spans="1:20" x14ac:dyDescent="0.3">
      <c r="A74" s="8"/>
      <c r="B74" s="22"/>
      <c r="C74" s="14"/>
      <c r="D74" s="8"/>
      <c r="E74" s="14"/>
      <c r="F74" s="14"/>
      <c r="G74" s="8"/>
      <c r="H74" s="14"/>
      <c r="I74" s="14"/>
      <c r="J74" s="14"/>
      <c r="K74" s="14"/>
      <c r="L74" s="14"/>
      <c r="M74" s="14"/>
      <c r="N74" s="14"/>
      <c r="O74" s="8"/>
      <c r="P74" s="14"/>
      <c r="Q74" s="14"/>
      <c r="R74" s="14"/>
      <c r="S74" s="14"/>
      <c r="T74" s="10"/>
    </row>
    <row r="75" spans="1:20" x14ac:dyDescent="0.3">
      <c r="A75" s="8"/>
      <c r="B75" s="22"/>
      <c r="C75" s="14"/>
      <c r="D75" s="8"/>
      <c r="E75" s="14"/>
      <c r="F75" s="14"/>
      <c r="G75" s="8"/>
      <c r="H75" s="14"/>
      <c r="I75" s="14"/>
      <c r="J75" s="14"/>
      <c r="K75" s="14"/>
      <c r="L75" s="14"/>
      <c r="M75" s="14"/>
      <c r="N75" s="14"/>
      <c r="O75" s="8"/>
      <c r="P75" s="14"/>
      <c r="Q75" s="14"/>
      <c r="R75" s="14"/>
      <c r="S75" s="14"/>
      <c r="T75" s="10"/>
    </row>
    <row r="76" spans="1:20" x14ac:dyDescent="0.3">
      <c r="A76" s="8"/>
      <c r="B76" s="22"/>
      <c r="C76" s="14"/>
      <c r="D76" s="8"/>
      <c r="E76" s="14"/>
      <c r="F76" s="14"/>
      <c r="G76" s="8"/>
      <c r="H76" s="14"/>
      <c r="I76" s="14"/>
      <c r="J76" s="14"/>
      <c r="K76" s="14"/>
      <c r="L76" s="14"/>
      <c r="M76" s="14"/>
      <c r="N76" s="14"/>
      <c r="O76" s="8"/>
      <c r="P76" s="14"/>
      <c r="Q76" s="14"/>
      <c r="R76" s="14"/>
      <c r="S76" s="14"/>
      <c r="T76" s="10"/>
    </row>
    <row r="77" spans="1:20" x14ac:dyDescent="0.3">
      <c r="A77" s="8"/>
      <c r="B77" s="22"/>
      <c r="C77" s="14"/>
      <c r="D77" s="8"/>
      <c r="E77" s="14"/>
      <c r="F77" s="14"/>
      <c r="G77" s="8"/>
      <c r="H77" s="14"/>
      <c r="I77" s="14"/>
      <c r="J77" s="14"/>
      <c r="K77" s="14"/>
      <c r="L77" s="14"/>
      <c r="M77" s="14"/>
      <c r="N77" s="14"/>
      <c r="O77" s="8"/>
      <c r="P77" s="14"/>
      <c r="Q77" s="14"/>
      <c r="R77" s="14"/>
      <c r="S77" s="14"/>
      <c r="T77" s="10"/>
    </row>
    <row r="78" spans="1:20" x14ac:dyDescent="0.3">
      <c r="A78" s="8"/>
      <c r="B78" s="22"/>
      <c r="C78" s="14"/>
      <c r="D78" s="8"/>
      <c r="E78" s="14"/>
      <c r="F78" s="14"/>
      <c r="G78" s="8"/>
      <c r="H78" s="14"/>
      <c r="I78" s="14"/>
      <c r="J78" s="14"/>
      <c r="K78" s="14"/>
      <c r="L78" s="14"/>
      <c r="M78" s="14"/>
      <c r="N78" s="14"/>
      <c r="O78" s="8"/>
      <c r="P78" s="14"/>
      <c r="Q78" s="14"/>
      <c r="R78" s="14"/>
      <c r="S78" s="14"/>
      <c r="T78" s="10"/>
    </row>
    <row r="79" spans="1:20" x14ac:dyDescent="0.3">
      <c r="A79" s="8"/>
      <c r="B79" s="22"/>
      <c r="C79" s="14"/>
      <c r="D79" s="8"/>
      <c r="E79" s="14"/>
      <c r="F79" s="14"/>
      <c r="G79" s="8"/>
      <c r="H79" s="14"/>
      <c r="I79" s="14"/>
      <c r="J79" s="14"/>
      <c r="K79" s="14"/>
      <c r="L79" s="14"/>
      <c r="M79" s="14"/>
      <c r="N79" s="14"/>
      <c r="O79" s="8"/>
      <c r="P79" s="14"/>
      <c r="Q79" s="14"/>
      <c r="R79" s="14"/>
      <c r="S79" s="14"/>
      <c r="T79" s="10"/>
    </row>
    <row r="80" spans="1:20" x14ac:dyDescent="0.3">
      <c r="A80" s="8"/>
      <c r="B80" s="22"/>
      <c r="C80" s="14"/>
      <c r="D80" s="8"/>
      <c r="E80" s="14"/>
      <c r="F80" s="14"/>
      <c r="G80" s="8"/>
      <c r="H80" s="14"/>
      <c r="I80" s="14"/>
      <c r="J80" s="14"/>
      <c r="K80" s="14"/>
      <c r="L80" s="14"/>
      <c r="M80" s="14"/>
      <c r="N80" s="14"/>
      <c r="O80" s="8"/>
      <c r="P80" s="14"/>
      <c r="Q80" s="14"/>
      <c r="R80" s="14"/>
      <c r="S80" s="14"/>
      <c r="T80" s="10"/>
    </row>
    <row r="81" spans="1:20" x14ac:dyDescent="0.3">
      <c r="A81" s="8"/>
      <c r="B81" s="22"/>
      <c r="C81" s="14"/>
      <c r="D81" s="8"/>
      <c r="E81" s="14"/>
      <c r="F81" s="14"/>
      <c r="G81" s="8"/>
      <c r="H81" s="14"/>
      <c r="I81" s="14"/>
      <c r="J81" s="14"/>
      <c r="K81" s="14"/>
      <c r="L81" s="14"/>
      <c r="M81" s="14"/>
      <c r="N81" s="14"/>
      <c r="O81" s="8"/>
      <c r="P81" s="14"/>
      <c r="Q81" s="14"/>
      <c r="R81" s="14"/>
      <c r="S81" s="14"/>
      <c r="T81" s="10"/>
    </row>
    <row r="82" spans="1:20" x14ac:dyDescent="0.3">
      <c r="A82" s="8"/>
      <c r="B82" s="22"/>
      <c r="C82" s="14"/>
      <c r="D82" s="8"/>
      <c r="E82" s="14"/>
      <c r="F82" s="14"/>
      <c r="G82" s="8"/>
      <c r="H82" s="14"/>
      <c r="I82" s="14"/>
      <c r="J82" s="14"/>
      <c r="K82" s="14"/>
      <c r="L82" s="14"/>
      <c r="M82" s="14"/>
      <c r="N82" s="14"/>
      <c r="O82" s="8"/>
      <c r="P82" s="14"/>
      <c r="Q82" s="14"/>
      <c r="R82" s="14"/>
      <c r="S82" s="14"/>
      <c r="T82" s="10"/>
    </row>
    <row r="83" spans="1:20" x14ac:dyDescent="0.3">
      <c r="A83" s="8"/>
      <c r="B83" s="22"/>
      <c r="C83" s="14"/>
      <c r="D83" s="8"/>
      <c r="E83" s="14"/>
      <c r="F83" s="14"/>
      <c r="G83" s="8"/>
      <c r="H83" s="14"/>
      <c r="I83" s="14"/>
      <c r="J83" s="14"/>
      <c r="K83" s="14"/>
      <c r="L83" s="14"/>
      <c r="M83" s="14"/>
      <c r="N83" s="14"/>
      <c r="O83" s="8"/>
      <c r="P83" s="14"/>
      <c r="Q83" s="14"/>
      <c r="R83" s="14"/>
      <c r="S83" s="14"/>
      <c r="T83" s="10"/>
    </row>
    <row r="84" spans="1:20" x14ac:dyDescent="0.3">
      <c r="A84" s="8"/>
      <c r="B84" s="22"/>
      <c r="C84" s="14"/>
      <c r="D84" s="8"/>
      <c r="E84" s="14"/>
      <c r="F84" s="14"/>
      <c r="G84" s="8"/>
      <c r="H84" s="14"/>
      <c r="I84" s="14"/>
      <c r="J84" s="14"/>
      <c r="K84" s="14"/>
      <c r="L84" s="14"/>
      <c r="M84" s="14"/>
      <c r="N84" s="14"/>
      <c r="O84" s="8"/>
      <c r="P84" s="14"/>
      <c r="Q84" s="14"/>
      <c r="R84" s="14"/>
      <c r="S84" s="14"/>
      <c r="T84" s="10"/>
    </row>
    <row r="85" spans="1:20" x14ac:dyDescent="0.3">
      <c r="A85" s="8"/>
      <c r="B85" s="22"/>
      <c r="C85" s="14"/>
      <c r="D85" s="8"/>
      <c r="E85" s="14"/>
      <c r="F85" s="14"/>
      <c r="G85" s="8"/>
      <c r="H85" s="14"/>
      <c r="I85" s="14"/>
      <c r="J85" s="14"/>
      <c r="K85" s="14"/>
      <c r="L85" s="14"/>
      <c r="M85" s="14"/>
      <c r="N85" s="14"/>
      <c r="O85" s="8"/>
      <c r="P85" s="14"/>
      <c r="Q85" s="14"/>
      <c r="R85" s="14"/>
      <c r="S85" s="14"/>
      <c r="T85" s="10"/>
    </row>
    <row r="86" spans="1:20" x14ac:dyDescent="0.3">
      <c r="A86" s="8"/>
      <c r="B86" s="22"/>
      <c r="C86" s="14"/>
      <c r="D86" s="8"/>
      <c r="E86" s="14"/>
      <c r="F86" s="14"/>
      <c r="G86" s="8"/>
      <c r="H86" s="14"/>
      <c r="I86" s="14"/>
      <c r="J86" s="14"/>
      <c r="K86" s="14"/>
      <c r="L86" s="14"/>
      <c r="M86" s="14"/>
      <c r="N86" s="14"/>
      <c r="O86" s="8"/>
      <c r="P86" s="14"/>
      <c r="Q86" s="14"/>
      <c r="R86" s="14"/>
      <c r="S86" s="14"/>
      <c r="T86" s="10"/>
    </row>
    <row r="87" spans="1:20" x14ac:dyDescent="0.3">
      <c r="A87" s="8"/>
      <c r="B87" s="22"/>
      <c r="C87" s="14"/>
      <c r="D87" s="8"/>
      <c r="E87" s="14"/>
      <c r="F87" s="14"/>
      <c r="G87" s="8"/>
      <c r="H87" s="14"/>
      <c r="I87" s="14"/>
      <c r="J87" s="14"/>
      <c r="K87" s="14"/>
      <c r="L87" s="14"/>
      <c r="M87" s="14"/>
      <c r="N87" s="14"/>
      <c r="O87" s="8"/>
      <c r="P87" s="14"/>
      <c r="Q87" s="14"/>
      <c r="R87" s="14"/>
      <c r="S87" s="14"/>
      <c r="T87" s="10"/>
    </row>
    <row r="88" spans="1:20" x14ac:dyDescent="0.3">
      <c r="A88" s="8"/>
      <c r="B88" s="22"/>
      <c r="C88" s="14"/>
      <c r="D88" s="8"/>
      <c r="E88" s="14"/>
      <c r="F88" s="14"/>
      <c r="G88" s="8"/>
      <c r="H88" s="14"/>
      <c r="I88" s="14"/>
      <c r="J88" s="14"/>
      <c r="K88" s="14"/>
      <c r="L88" s="14"/>
      <c r="M88" s="14"/>
      <c r="N88" s="14"/>
      <c r="O88" s="8"/>
      <c r="P88" s="14"/>
      <c r="Q88" s="14"/>
      <c r="R88" s="14"/>
      <c r="S88" s="14"/>
      <c r="T88" s="10"/>
    </row>
    <row r="89" spans="1:20" x14ac:dyDescent="0.3">
      <c r="A89" s="8"/>
      <c r="B89" s="22"/>
      <c r="C89" s="14"/>
      <c r="D89" s="8"/>
      <c r="E89" s="14"/>
      <c r="F89" s="14"/>
      <c r="G89" s="8"/>
      <c r="H89" s="14"/>
      <c r="I89" s="14"/>
      <c r="J89" s="14"/>
      <c r="K89" s="14"/>
      <c r="L89" s="14"/>
      <c r="M89" s="14"/>
      <c r="N89" s="14"/>
      <c r="O89" s="8"/>
      <c r="P89" s="14"/>
      <c r="Q89" s="14"/>
      <c r="R89" s="14"/>
      <c r="S89" s="14"/>
      <c r="T89" s="10"/>
    </row>
    <row r="90" spans="1:20" x14ac:dyDescent="0.3">
      <c r="A90" s="8"/>
      <c r="B90" s="22"/>
      <c r="C90" s="14"/>
      <c r="D90" s="8"/>
      <c r="E90" s="14"/>
      <c r="F90" s="14"/>
      <c r="G90" s="8"/>
      <c r="H90" s="14"/>
      <c r="I90" s="14"/>
      <c r="J90" s="14"/>
      <c r="K90" s="14"/>
      <c r="L90" s="14"/>
      <c r="M90" s="14"/>
      <c r="N90" s="14"/>
      <c r="O90" s="8"/>
      <c r="P90" s="14"/>
      <c r="Q90" s="14"/>
      <c r="R90" s="14"/>
      <c r="S90" s="14"/>
      <c r="T90" s="10"/>
    </row>
    <row r="91" spans="1:20" x14ac:dyDescent="0.3">
      <c r="A91" s="8"/>
      <c r="B91" s="22"/>
      <c r="C91" s="14"/>
      <c r="D91" s="8"/>
      <c r="E91" s="14"/>
      <c r="F91" s="14"/>
      <c r="G91" s="8"/>
      <c r="H91" s="14"/>
      <c r="I91" s="14"/>
      <c r="J91" s="14"/>
      <c r="K91" s="14"/>
      <c r="L91" s="14"/>
      <c r="M91" s="14"/>
      <c r="N91" s="14"/>
      <c r="O91" s="8"/>
      <c r="P91" s="14"/>
      <c r="Q91" s="14"/>
      <c r="R91" s="14"/>
      <c r="S91" s="14"/>
      <c r="T91" s="10"/>
    </row>
    <row r="92" spans="1:20" x14ac:dyDescent="0.3">
      <c r="A92" s="8"/>
      <c r="B92" s="22"/>
      <c r="C92" s="14"/>
      <c r="D92" s="8"/>
      <c r="E92" s="14"/>
      <c r="F92" s="14"/>
      <c r="G92" s="8"/>
      <c r="H92" s="14"/>
      <c r="I92" s="14"/>
      <c r="J92" s="14"/>
      <c r="K92" s="14"/>
      <c r="L92" s="14"/>
      <c r="M92" s="14"/>
      <c r="N92" s="14"/>
      <c r="O92" s="8"/>
      <c r="P92" s="14"/>
      <c r="Q92" s="14"/>
      <c r="R92" s="14"/>
      <c r="S92" s="14"/>
      <c r="T92" s="10"/>
    </row>
    <row r="93" spans="1:20" x14ac:dyDescent="0.3">
      <c r="A93" s="8"/>
      <c r="B93" s="22"/>
      <c r="C93" s="14"/>
      <c r="D93" s="8"/>
      <c r="E93" s="14"/>
      <c r="F93" s="14"/>
      <c r="G93" s="8"/>
      <c r="H93" s="14"/>
      <c r="I93" s="14"/>
      <c r="J93" s="14"/>
      <c r="K93" s="14"/>
      <c r="L93" s="14"/>
      <c r="M93" s="14"/>
      <c r="N93" s="14"/>
      <c r="O93" s="8"/>
      <c r="P93" s="14"/>
      <c r="Q93" s="14"/>
      <c r="R93" s="14"/>
      <c r="S93" s="14"/>
      <c r="T93" s="10"/>
    </row>
    <row r="94" spans="1:20" x14ac:dyDescent="0.3">
      <c r="A94" s="8"/>
      <c r="B94" s="22"/>
      <c r="C94" s="14"/>
      <c r="D94" s="8"/>
      <c r="E94" s="14"/>
      <c r="F94" s="14"/>
      <c r="G94" s="8"/>
      <c r="H94" s="14"/>
      <c r="I94" s="14"/>
      <c r="J94" s="14"/>
      <c r="K94" s="14"/>
      <c r="L94" s="14"/>
      <c r="M94" s="14"/>
      <c r="N94" s="14"/>
      <c r="O94" s="8"/>
      <c r="P94" s="14"/>
      <c r="Q94" s="14"/>
      <c r="R94" s="14"/>
      <c r="S94" s="14"/>
      <c r="T94" s="10"/>
    </row>
    <row r="95" spans="1:20" x14ac:dyDescent="0.3">
      <c r="A95" s="8"/>
      <c r="B95" s="22"/>
      <c r="C95" s="14"/>
      <c r="D95" s="8"/>
      <c r="E95" s="14"/>
      <c r="F95" s="14"/>
      <c r="G95" s="8"/>
      <c r="H95" s="14"/>
      <c r="I95" s="14"/>
      <c r="J95" s="14"/>
      <c r="K95" s="14"/>
      <c r="L95" s="14"/>
      <c r="M95" s="14"/>
      <c r="N95" s="14"/>
      <c r="O95" s="8"/>
      <c r="P95" s="14"/>
      <c r="Q95" s="14"/>
      <c r="R95" s="14"/>
      <c r="S95" s="14"/>
      <c r="T95" s="10"/>
    </row>
    <row r="96" spans="1:20" x14ac:dyDescent="0.3">
      <c r="A96" s="8"/>
      <c r="B96" s="22"/>
      <c r="C96" s="14"/>
      <c r="D96" s="8"/>
      <c r="E96" s="14"/>
      <c r="F96" s="14"/>
      <c r="G96" s="8"/>
      <c r="H96" s="14"/>
      <c r="I96" s="14"/>
      <c r="J96" s="14"/>
      <c r="K96" s="14"/>
      <c r="L96" s="14"/>
      <c r="M96" s="14"/>
      <c r="N96" s="14"/>
      <c r="O96" s="8"/>
      <c r="P96" s="14"/>
      <c r="Q96" s="14"/>
      <c r="R96" s="14"/>
      <c r="S96" s="14"/>
      <c r="T96" s="10"/>
    </row>
    <row r="97" spans="1:20" x14ac:dyDescent="0.3">
      <c r="A97" s="8"/>
      <c r="B97" s="22"/>
      <c r="C97" s="14"/>
      <c r="D97" s="8"/>
      <c r="E97" s="14"/>
      <c r="F97" s="14"/>
      <c r="G97" s="8"/>
      <c r="H97" s="14"/>
      <c r="I97" s="14"/>
      <c r="J97" s="14"/>
      <c r="K97" s="14"/>
      <c r="L97" s="14"/>
      <c r="M97" s="14"/>
      <c r="N97" s="14"/>
      <c r="O97" s="8"/>
      <c r="P97" s="14"/>
      <c r="Q97" s="14"/>
      <c r="R97" s="14"/>
      <c r="S97" s="14"/>
      <c r="T97" s="10"/>
    </row>
    <row r="98" spans="1:20" x14ac:dyDescent="0.3">
      <c r="A98" s="8"/>
      <c r="B98" s="22"/>
      <c r="C98" s="14"/>
      <c r="D98" s="8"/>
      <c r="E98" s="14"/>
      <c r="F98" s="14"/>
      <c r="G98" s="8"/>
      <c r="H98" s="14"/>
      <c r="I98" s="14"/>
      <c r="J98" s="14"/>
      <c r="K98" s="14"/>
      <c r="L98" s="14"/>
      <c r="M98" s="14"/>
      <c r="N98" s="14"/>
      <c r="O98" s="8"/>
      <c r="P98" s="14"/>
      <c r="Q98" s="14"/>
      <c r="R98" s="14"/>
      <c r="S98" s="14"/>
      <c r="T98" s="10"/>
    </row>
    <row r="99" spans="1:20" x14ac:dyDescent="0.3">
      <c r="A99" s="8"/>
      <c r="B99" s="22"/>
      <c r="C99" s="14"/>
      <c r="D99" s="8"/>
      <c r="E99" s="14"/>
      <c r="F99" s="14"/>
      <c r="G99" s="8"/>
      <c r="H99" s="14"/>
      <c r="I99" s="14"/>
      <c r="J99" s="14"/>
      <c r="K99" s="14"/>
      <c r="L99" s="14"/>
      <c r="M99" s="14"/>
      <c r="N99" s="14"/>
      <c r="O99" s="8"/>
      <c r="P99" s="14"/>
      <c r="Q99" s="14"/>
      <c r="R99" s="14"/>
      <c r="S99" s="14"/>
      <c r="T99" s="10"/>
    </row>
    <row r="100" spans="1:20" x14ac:dyDescent="0.3">
      <c r="A100" s="8"/>
      <c r="B100" s="22"/>
      <c r="C100" s="14"/>
      <c r="D100" s="8"/>
      <c r="E100" s="14"/>
      <c r="F100" s="14"/>
      <c r="G100" s="8"/>
      <c r="H100" s="14"/>
      <c r="I100" s="14"/>
      <c r="J100" s="14"/>
      <c r="K100" s="14"/>
      <c r="L100" s="14"/>
      <c r="M100" s="14"/>
      <c r="N100" s="14"/>
      <c r="O100" s="8"/>
      <c r="P100" s="14"/>
      <c r="Q100" s="14"/>
      <c r="R100" s="14"/>
      <c r="S100" s="14"/>
      <c r="T100" s="10"/>
    </row>
    <row r="101" spans="1:20" x14ac:dyDescent="0.3">
      <c r="A101" s="8"/>
      <c r="B101" s="22"/>
      <c r="C101" s="14"/>
      <c r="D101" s="8"/>
      <c r="E101" s="14"/>
      <c r="F101" s="14"/>
      <c r="G101" s="8"/>
      <c r="H101" s="14"/>
      <c r="I101" s="14"/>
      <c r="J101" s="14"/>
      <c r="K101" s="14"/>
      <c r="L101" s="14"/>
      <c r="M101" s="14"/>
      <c r="N101" s="14"/>
      <c r="O101" s="8"/>
      <c r="P101" s="14"/>
      <c r="Q101" s="14"/>
      <c r="R101" s="14"/>
      <c r="S101" s="14"/>
      <c r="T101" s="10"/>
    </row>
    <row r="102" spans="1:20" x14ac:dyDescent="0.3">
      <c r="A102" s="8"/>
      <c r="B102" s="22"/>
      <c r="C102" s="14"/>
      <c r="D102" s="8"/>
      <c r="E102" s="14"/>
      <c r="F102" s="14"/>
      <c r="G102" s="8"/>
      <c r="H102" s="14"/>
      <c r="I102" s="14"/>
      <c r="J102" s="14"/>
      <c r="K102" s="14"/>
      <c r="L102" s="14"/>
      <c r="M102" s="14"/>
      <c r="N102" s="14"/>
      <c r="O102" s="8"/>
      <c r="P102" s="14"/>
      <c r="Q102" s="14"/>
      <c r="R102" s="14"/>
      <c r="S102" s="14"/>
      <c r="T102" s="10"/>
    </row>
    <row r="103" spans="1:20" x14ac:dyDescent="0.3">
      <c r="A103" s="8"/>
      <c r="B103" s="22"/>
      <c r="C103" s="14"/>
      <c r="D103" s="8"/>
      <c r="E103" s="14"/>
      <c r="F103" s="14"/>
      <c r="G103" s="8"/>
      <c r="H103" s="14"/>
      <c r="I103" s="14"/>
      <c r="J103" s="14"/>
      <c r="K103" s="14"/>
      <c r="L103" s="14"/>
      <c r="M103" s="14"/>
      <c r="N103" s="14"/>
      <c r="O103" s="8"/>
      <c r="P103" s="14"/>
      <c r="Q103" s="14"/>
      <c r="R103" s="14"/>
      <c r="S103" s="14"/>
      <c r="T103" s="10"/>
    </row>
    <row r="104" spans="1:20" x14ac:dyDescent="0.3">
      <c r="A104" s="8"/>
      <c r="B104" s="22"/>
      <c r="C104" s="14"/>
      <c r="D104" s="8"/>
      <c r="E104" s="14"/>
      <c r="F104" s="14"/>
      <c r="G104" s="8"/>
      <c r="H104" s="14"/>
      <c r="I104" s="14"/>
      <c r="J104" s="14"/>
      <c r="K104" s="14"/>
      <c r="L104" s="14"/>
      <c r="M104" s="14"/>
      <c r="N104" s="14"/>
      <c r="O104" s="8"/>
      <c r="P104" s="14"/>
      <c r="Q104" s="14"/>
      <c r="R104" s="14"/>
      <c r="S104" s="14"/>
      <c r="T104" s="10"/>
    </row>
    <row r="105" spans="1:20" x14ac:dyDescent="0.3">
      <c r="A105" s="8"/>
      <c r="B105" s="22"/>
      <c r="C105" s="14"/>
      <c r="D105" s="8"/>
      <c r="E105" s="14"/>
      <c r="F105" s="14"/>
      <c r="G105" s="8"/>
      <c r="H105" s="14"/>
      <c r="I105" s="14"/>
      <c r="J105" s="14"/>
      <c r="K105" s="14"/>
      <c r="L105" s="14"/>
      <c r="M105" s="14"/>
      <c r="N105" s="14"/>
      <c r="O105" s="8"/>
      <c r="P105" s="14"/>
      <c r="Q105" s="14"/>
      <c r="R105" s="14"/>
      <c r="S105" s="14"/>
      <c r="T105" s="10"/>
    </row>
  </sheetData>
  <mergeCells count="11">
    <mergeCell ref="T1:T3"/>
    <mergeCell ref="U1:U3"/>
    <mergeCell ref="V1:V3"/>
    <mergeCell ref="A1:A3"/>
    <mergeCell ref="B1:B3"/>
    <mergeCell ref="C1:C2"/>
    <mergeCell ref="D1:D2"/>
    <mergeCell ref="R1:R3"/>
    <mergeCell ref="S1:S3"/>
    <mergeCell ref="E1:E2"/>
    <mergeCell ref="F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32BB-6B4E-4E5D-ACCD-1D62F07F2C5C}">
  <dimension ref="A1:G103"/>
  <sheetViews>
    <sheetView workbookViewId="0">
      <selection activeCell="A2" sqref="A2:A51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3.21875" bestFit="1" customWidth="1"/>
    <col min="4" max="4" width="12.5546875" bestFit="1" customWidth="1"/>
    <col min="5" max="5" width="13.21875" bestFit="1" customWidth="1"/>
  </cols>
  <sheetData>
    <row r="1" spans="1:7" ht="43.2" x14ac:dyDescent="0.3">
      <c r="A1" s="105" t="s">
        <v>5</v>
      </c>
      <c r="B1" s="106" t="s">
        <v>1</v>
      </c>
      <c r="C1" s="106" t="s">
        <v>2</v>
      </c>
      <c r="D1" s="106" t="s">
        <v>3</v>
      </c>
      <c r="E1" s="106" t="s">
        <v>4</v>
      </c>
      <c r="F1" s="107" t="s">
        <v>8</v>
      </c>
      <c r="G1" s="107" t="s">
        <v>7</v>
      </c>
    </row>
    <row r="2" spans="1:7" x14ac:dyDescent="0.3">
      <c r="A2" s="148">
        <v>1</v>
      </c>
      <c r="B2" s="11" cm="1">
        <f t="array" ref="B2:B51">VLOOKUP(A2:A51, WITHINCITY!B4:E53,4,0)</f>
        <v>54</v>
      </c>
      <c r="C2" s="11" cm="1">
        <f t="array" ref="C2:C51">VLOOKUP(A2:A51, WITHINSTATE!B4:E53,4,0)</f>
        <v>60</v>
      </c>
      <c r="D2" s="11" cm="1">
        <f t="array" ref="D2:D51">VLOOKUP(A2:A51, WITHINZONE!B4:E53,4,0)</f>
        <v>75</v>
      </c>
      <c r="E2" s="11" cm="1">
        <f t="array" ref="E2:E51">VLOOKUP(A2:A51, RESTOFINDIA!B4:E53,4,0)</f>
        <v>90</v>
      </c>
      <c r="F2" s="11" cm="1">
        <f t="array" ref="F2:F51">VLOOKUP(A2:A51, 'METRO TO METRO'!B4:E53,4,0)</f>
        <v>84</v>
      </c>
      <c r="G2" s="2" cm="1">
        <f t="array" ref="G2:G51">VLOOKUP(A2:A51, SPECIALDESTINATION!B4:E53,4,0)</f>
        <v>135</v>
      </c>
    </row>
    <row r="3" spans="1:7" x14ac:dyDescent="0.3">
      <c r="A3" s="15">
        <f>A2 + 1</f>
        <v>2</v>
      </c>
      <c r="B3" s="11">
        <v>54</v>
      </c>
      <c r="C3" s="11">
        <v>60</v>
      </c>
      <c r="D3" s="11">
        <v>75</v>
      </c>
      <c r="E3" s="11">
        <v>90</v>
      </c>
      <c r="F3" s="11">
        <v>84</v>
      </c>
      <c r="G3" s="2">
        <v>135</v>
      </c>
    </row>
    <row r="4" spans="1:7" x14ac:dyDescent="0.3">
      <c r="A4" s="15">
        <f t="shared" ref="A4:A51" si="0">A3 + 1</f>
        <v>3</v>
      </c>
      <c r="B4" s="11">
        <v>54</v>
      </c>
      <c r="C4" s="11">
        <v>60</v>
      </c>
      <c r="D4" s="11">
        <v>75</v>
      </c>
      <c r="E4" s="11">
        <v>90</v>
      </c>
      <c r="F4" s="11">
        <v>84</v>
      </c>
      <c r="G4" s="2">
        <v>135</v>
      </c>
    </row>
    <row r="5" spans="1:7" x14ac:dyDescent="0.3">
      <c r="A5" s="15">
        <f t="shared" si="0"/>
        <v>4</v>
      </c>
      <c r="B5" s="11">
        <v>72</v>
      </c>
      <c r="C5" s="11">
        <v>80</v>
      </c>
      <c r="D5" s="11">
        <v>100</v>
      </c>
      <c r="E5" s="11">
        <v>120</v>
      </c>
      <c r="F5" s="11">
        <v>112</v>
      </c>
      <c r="G5" s="2">
        <v>180</v>
      </c>
    </row>
    <row r="6" spans="1:7" x14ac:dyDescent="0.3">
      <c r="A6" s="15">
        <f t="shared" si="0"/>
        <v>5</v>
      </c>
      <c r="B6" s="11">
        <v>90</v>
      </c>
      <c r="C6" s="11">
        <v>100</v>
      </c>
      <c r="D6" s="11">
        <v>125</v>
      </c>
      <c r="E6" s="11">
        <v>150</v>
      </c>
      <c r="F6" s="11">
        <v>140</v>
      </c>
      <c r="G6" s="2">
        <v>225</v>
      </c>
    </row>
    <row r="7" spans="1:7" x14ac:dyDescent="0.3">
      <c r="A7" s="15">
        <f t="shared" si="0"/>
        <v>6</v>
      </c>
      <c r="B7" s="11">
        <v>108</v>
      </c>
      <c r="C7" s="11">
        <v>120</v>
      </c>
      <c r="D7" s="11">
        <v>150</v>
      </c>
      <c r="E7" s="11">
        <v>180</v>
      </c>
      <c r="F7" s="11">
        <v>168</v>
      </c>
      <c r="G7" s="2">
        <v>270</v>
      </c>
    </row>
    <row r="8" spans="1:7" x14ac:dyDescent="0.3">
      <c r="A8" s="15">
        <f t="shared" si="0"/>
        <v>7</v>
      </c>
      <c r="B8" s="11">
        <v>126</v>
      </c>
      <c r="C8" s="11">
        <v>140</v>
      </c>
      <c r="D8" s="11">
        <v>175</v>
      </c>
      <c r="E8" s="11">
        <v>210</v>
      </c>
      <c r="F8" s="11">
        <v>196</v>
      </c>
      <c r="G8" s="2">
        <v>315</v>
      </c>
    </row>
    <row r="9" spans="1:7" x14ac:dyDescent="0.3">
      <c r="A9" s="15">
        <f t="shared" si="0"/>
        <v>8</v>
      </c>
      <c r="B9" s="11">
        <v>144</v>
      </c>
      <c r="C9" s="11">
        <v>160</v>
      </c>
      <c r="D9" s="11">
        <v>200</v>
      </c>
      <c r="E9" s="11">
        <v>240</v>
      </c>
      <c r="F9" s="11">
        <v>224</v>
      </c>
      <c r="G9" s="2">
        <v>360</v>
      </c>
    </row>
    <row r="10" spans="1:7" x14ac:dyDescent="0.3">
      <c r="A10" s="15">
        <f t="shared" si="0"/>
        <v>9</v>
      </c>
      <c r="B10" s="11">
        <v>162</v>
      </c>
      <c r="C10" s="11">
        <v>180</v>
      </c>
      <c r="D10" s="11">
        <v>225</v>
      </c>
      <c r="E10" s="11">
        <v>270</v>
      </c>
      <c r="F10" s="11">
        <v>252</v>
      </c>
      <c r="G10" s="2">
        <v>405</v>
      </c>
    </row>
    <row r="11" spans="1:7" x14ac:dyDescent="0.3">
      <c r="A11" s="15">
        <f t="shared" si="0"/>
        <v>10</v>
      </c>
      <c r="B11" s="11">
        <v>180</v>
      </c>
      <c r="C11" s="11">
        <v>200</v>
      </c>
      <c r="D11" s="11">
        <v>250</v>
      </c>
      <c r="E11" s="11">
        <v>300</v>
      </c>
      <c r="F11" s="11">
        <v>280</v>
      </c>
      <c r="G11" s="2">
        <v>450</v>
      </c>
    </row>
    <row r="12" spans="1:7" x14ac:dyDescent="0.3">
      <c r="A12" s="15">
        <f t="shared" si="0"/>
        <v>11</v>
      </c>
      <c r="B12" s="11">
        <v>198</v>
      </c>
      <c r="C12" s="11">
        <v>220</v>
      </c>
      <c r="D12" s="11">
        <v>275</v>
      </c>
      <c r="E12" s="11">
        <v>330</v>
      </c>
      <c r="F12" s="11">
        <v>308</v>
      </c>
      <c r="G12" s="2">
        <v>495</v>
      </c>
    </row>
    <row r="13" spans="1:7" x14ac:dyDescent="0.3">
      <c r="A13" s="15">
        <f t="shared" si="0"/>
        <v>12</v>
      </c>
      <c r="B13" s="11">
        <v>216</v>
      </c>
      <c r="C13" s="11">
        <v>240</v>
      </c>
      <c r="D13" s="11">
        <v>300</v>
      </c>
      <c r="E13" s="11">
        <v>360</v>
      </c>
      <c r="F13" s="11">
        <v>336</v>
      </c>
      <c r="G13" s="2">
        <v>540</v>
      </c>
    </row>
    <row r="14" spans="1:7" x14ac:dyDescent="0.3">
      <c r="A14" s="15">
        <f t="shared" si="0"/>
        <v>13</v>
      </c>
      <c r="B14" s="11">
        <v>234</v>
      </c>
      <c r="C14" s="11">
        <v>260</v>
      </c>
      <c r="D14" s="11">
        <v>325</v>
      </c>
      <c r="E14" s="11">
        <v>390</v>
      </c>
      <c r="F14" s="11">
        <v>364</v>
      </c>
      <c r="G14" s="2">
        <v>585</v>
      </c>
    </row>
    <row r="15" spans="1:7" x14ac:dyDescent="0.3">
      <c r="A15" s="15">
        <f t="shared" si="0"/>
        <v>14</v>
      </c>
      <c r="B15" s="11">
        <v>252</v>
      </c>
      <c r="C15" s="11">
        <v>280</v>
      </c>
      <c r="D15" s="11">
        <v>350</v>
      </c>
      <c r="E15" s="11">
        <v>420</v>
      </c>
      <c r="F15" s="11">
        <v>392</v>
      </c>
      <c r="G15" s="2">
        <v>630</v>
      </c>
    </row>
    <row r="16" spans="1:7" x14ac:dyDescent="0.3">
      <c r="A16" s="15">
        <f t="shared" si="0"/>
        <v>15</v>
      </c>
      <c r="B16" s="11">
        <v>270</v>
      </c>
      <c r="C16" s="11">
        <v>300</v>
      </c>
      <c r="D16" s="11">
        <v>375</v>
      </c>
      <c r="E16" s="11">
        <v>450</v>
      </c>
      <c r="F16" s="11">
        <v>420</v>
      </c>
      <c r="G16" s="2">
        <v>675</v>
      </c>
    </row>
    <row r="17" spans="1:7" x14ac:dyDescent="0.3">
      <c r="A17" s="15">
        <f t="shared" si="0"/>
        <v>16</v>
      </c>
      <c r="B17" s="11">
        <v>288</v>
      </c>
      <c r="C17" s="11">
        <v>320</v>
      </c>
      <c r="D17" s="11">
        <v>400</v>
      </c>
      <c r="E17" s="11">
        <v>480</v>
      </c>
      <c r="F17" s="11">
        <v>448</v>
      </c>
      <c r="G17" s="2">
        <v>720</v>
      </c>
    </row>
    <row r="18" spans="1:7" x14ac:dyDescent="0.3">
      <c r="A18" s="15">
        <f t="shared" si="0"/>
        <v>17</v>
      </c>
      <c r="B18" s="11">
        <v>306</v>
      </c>
      <c r="C18" s="11">
        <v>340</v>
      </c>
      <c r="D18" s="11">
        <v>425</v>
      </c>
      <c r="E18" s="11">
        <v>510</v>
      </c>
      <c r="F18" s="11">
        <v>476</v>
      </c>
      <c r="G18" s="2">
        <v>765</v>
      </c>
    </row>
    <row r="19" spans="1:7" x14ac:dyDescent="0.3">
      <c r="A19" s="15">
        <f t="shared" si="0"/>
        <v>18</v>
      </c>
      <c r="B19" s="11">
        <v>324</v>
      </c>
      <c r="C19" s="11">
        <v>360</v>
      </c>
      <c r="D19" s="11">
        <v>450</v>
      </c>
      <c r="E19" s="11">
        <v>540</v>
      </c>
      <c r="F19" s="11">
        <v>504</v>
      </c>
      <c r="G19" s="2">
        <v>810</v>
      </c>
    </row>
    <row r="20" spans="1:7" x14ac:dyDescent="0.3">
      <c r="A20" s="15">
        <f t="shared" si="0"/>
        <v>19</v>
      </c>
      <c r="B20" s="11">
        <v>342</v>
      </c>
      <c r="C20" s="11">
        <v>380</v>
      </c>
      <c r="D20" s="11">
        <v>475</v>
      </c>
      <c r="E20" s="11">
        <v>570</v>
      </c>
      <c r="F20" s="11">
        <v>532</v>
      </c>
      <c r="G20" s="2">
        <v>855</v>
      </c>
    </row>
    <row r="21" spans="1:7" x14ac:dyDescent="0.3">
      <c r="A21" s="15">
        <f t="shared" si="0"/>
        <v>20</v>
      </c>
      <c r="B21" s="11">
        <v>360</v>
      </c>
      <c r="C21" s="11">
        <v>400</v>
      </c>
      <c r="D21" s="11">
        <v>500</v>
      </c>
      <c r="E21" s="11">
        <v>600</v>
      </c>
      <c r="F21" s="11">
        <v>560</v>
      </c>
      <c r="G21" s="2">
        <v>900</v>
      </c>
    </row>
    <row r="22" spans="1:7" x14ac:dyDescent="0.3">
      <c r="A22" s="15">
        <f t="shared" si="0"/>
        <v>21</v>
      </c>
      <c r="B22" s="11">
        <v>378</v>
      </c>
      <c r="C22" s="11">
        <v>420</v>
      </c>
      <c r="D22" s="11">
        <v>525</v>
      </c>
      <c r="E22" s="11">
        <v>630</v>
      </c>
      <c r="F22" s="11">
        <v>588</v>
      </c>
      <c r="G22" s="2">
        <v>945</v>
      </c>
    </row>
    <row r="23" spans="1:7" x14ac:dyDescent="0.3">
      <c r="A23" s="15">
        <f t="shared" si="0"/>
        <v>22</v>
      </c>
      <c r="B23" s="11">
        <v>396</v>
      </c>
      <c r="C23" s="11">
        <v>440</v>
      </c>
      <c r="D23" s="11">
        <v>550</v>
      </c>
      <c r="E23" s="11">
        <v>660</v>
      </c>
      <c r="F23" s="11">
        <v>616</v>
      </c>
      <c r="G23" s="2">
        <v>990</v>
      </c>
    </row>
    <row r="24" spans="1:7" x14ac:dyDescent="0.3">
      <c r="A24" s="15">
        <f t="shared" si="0"/>
        <v>23</v>
      </c>
      <c r="B24" s="11">
        <v>414</v>
      </c>
      <c r="C24" s="11">
        <v>460</v>
      </c>
      <c r="D24" s="11">
        <v>575</v>
      </c>
      <c r="E24" s="11">
        <v>690</v>
      </c>
      <c r="F24" s="11">
        <v>644</v>
      </c>
      <c r="G24" s="2">
        <v>1035</v>
      </c>
    </row>
    <row r="25" spans="1:7" x14ac:dyDescent="0.3">
      <c r="A25" s="15">
        <f t="shared" si="0"/>
        <v>24</v>
      </c>
      <c r="B25" s="11">
        <v>432</v>
      </c>
      <c r="C25" s="11">
        <v>480</v>
      </c>
      <c r="D25" s="11">
        <v>600</v>
      </c>
      <c r="E25" s="11">
        <v>720</v>
      </c>
      <c r="F25" s="11">
        <v>672</v>
      </c>
      <c r="G25" s="2">
        <v>1080</v>
      </c>
    </row>
    <row r="26" spans="1:7" x14ac:dyDescent="0.3">
      <c r="A26" s="15">
        <f t="shared" si="0"/>
        <v>25</v>
      </c>
      <c r="B26" s="11">
        <v>450</v>
      </c>
      <c r="C26" s="11">
        <v>500</v>
      </c>
      <c r="D26" s="11">
        <v>625</v>
      </c>
      <c r="E26" s="11">
        <v>750</v>
      </c>
      <c r="F26" s="11">
        <v>700</v>
      </c>
      <c r="G26" s="2">
        <v>1125</v>
      </c>
    </row>
    <row r="27" spans="1:7" x14ac:dyDescent="0.3">
      <c r="A27" s="15">
        <f t="shared" si="0"/>
        <v>26</v>
      </c>
      <c r="B27" s="11">
        <v>468</v>
      </c>
      <c r="C27" s="11">
        <v>520</v>
      </c>
      <c r="D27" s="11">
        <v>650</v>
      </c>
      <c r="E27" s="11">
        <v>780</v>
      </c>
      <c r="F27" s="11">
        <v>728</v>
      </c>
      <c r="G27" s="2">
        <v>1170</v>
      </c>
    </row>
    <row r="28" spans="1:7" x14ac:dyDescent="0.3">
      <c r="A28" s="15">
        <f t="shared" si="0"/>
        <v>27</v>
      </c>
      <c r="B28" s="11">
        <v>486</v>
      </c>
      <c r="C28" s="11">
        <v>540</v>
      </c>
      <c r="D28" s="11">
        <v>675</v>
      </c>
      <c r="E28" s="11">
        <v>810</v>
      </c>
      <c r="F28" s="11">
        <v>756</v>
      </c>
      <c r="G28" s="2">
        <v>1215</v>
      </c>
    </row>
    <row r="29" spans="1:7" x14ac:dyDescent="0.3">
      <c r="A29" s="15">
        <f t="shared" si="0"/>
        <v>28</v>
      </c>
      <c r="B29" s="11">
        <v>504</v>
      </c>
      <c r="C29" s="11">
        <v>560</v>
      </c>
      <c r="D29" s="11">
        <v>700</v>
      </c>
      <c r="E29" s="11">
        <v>840</v>
      </c>
      <c r="F29" s="11">
        <v>784</v>
      </c>
      <c r="G29" s="2">
        <v>1260</v>
      </c>
    </row>
    <row r="30" spans="1:7" x14ac:dyDescent="0.3">
      <c r="A30" s="15">
        <f t="shared" si="0"/>
        <v>29</v>
      </c>
      <c r="B30" s="11">
        <v>522</v>
      </c>
      <c r="C30" s="11">
        <v>580</v>
      </c>
      <c r="D30" s="11">
        <v>725</v>
      </c>
      <c r="E30" s="11">
        <v>870</v>
      </c>
      <c r="F30" s="11">
        <v>812</v>
      </c>
      <c r="G30" s="2">
        <v>1305</v>
      </c>
    </row>
    <row r="31" spans="1:7" x14ac:dyDescent="0.3">
      <c r="A31" s="15">
        <f t="shared" si="0"/>
        <v>30</v>
      </c>
      <c r="B31" s="11">
        <v>540</v>
      </c>
      <c r="C31" s="11">
        <v>600</v>
      </c>
      <c r="D31" s="11">
        <v>750</v>
      </c>
      <c r="E31" s="11">
        <v>900</v>
      </c>
      <c r="F31" s="11">
        <v>840</v>
      </c>
      <c r="G31" s="2">
        <v>1350</v>
      </c>
    </row>
    <row r="32" spans="1:7" x14ac:dyDescent="0.3">
      <c r="A32" s="15">
        <f t="shared" si="0"/>
        <v>31</v>
      </c>
      <c r="B32" s="11">
        <v>558</v>
      </c>
      <c r="C32" s="11">
        <v>620</v>
      </c>
      <c r="D32" s="11">
        <v>775</v>
      </c>
      <c r="E32" s="11">
        <v>930</v>
      </c>
      <c r="F32" s="11">
        <v>868</v>
      </c>
      <c r="G32" s="2">
        <v>1395</v>
      </c>
    </row>
    <row r="33" spans="1:7" x14ac:dyDescent="0.3">
      <c r="A33" s="15">
        <f t="shared" si="0"/>
        <v>32</v>
      </c>
      <c r="B33" s="11">
        <v>576</v>
      </c>
      <c r="C33" s="11">
        <v>640</v>
      </c>
      <c r="D33" s="11">
        <v>800</v>
      </c>
      <c r="E33" s="11">
        <v>960</v>
      </c>
      <c r="F33" s="11">
        <v>896</v>
      </c>
      <c r="G33" s="2">
        <v>1440</v>
      </c>
    </row>
    <row r="34" spans="1:7" x14ac:dyDescent="0.3">
      <c r="A34" s="15">
        <f t="shared" si="0"/>
        <v>33</v>
      </c>
      <c r="B34" s="11">
        <v>594</v>
      </c>
      <c r="C34" s="11">
        <v>660</v>
      </c>
      <c r="D34" s="11">
        <v>825</v>
      </c>
      <c r="E34" s="11">
        <v>990</v>
      </c>
      <c r="F34" s="11">
        <v>924</v>
      </c>
      <c r="G34" s="2">
        <v>1485</v>
      </c>
    </row>
    <row r="35" spans="1:7" x14ac:dyDescent="0.3">
      <c r="A35" s="15">
        <f t="shared" si="0"/>
        <v>34</v>
      </c>
      <c r="B35" s="11">
        <v>612</v>
      </c>
      <c r="C35" s="11">
        <v>680</v>
      </c>
      <c r="D35" s="11">
        <v>850</v>
      </c>
      <c r="E35" s="11">
        <v>1020</v>
      </c>
      <c r="F35" s="11">
        <v>952</v>
      </c>
      <c r="G35" s="2">
        <v>1530</v>
      </c>
    </row>
    <row r="36" spans="1:7" x14ac:dyDescent="0.3">
      <c r="A36" s="15">
        <f t="shared" si="0"/>
        <v>35</v>
      </c>
      <c r="B36" s="11">
        <v>630</v>
      </c>
      <c r="C36" s="11">
        <v>700</v>
      </c>
      <c r="D36" s="11">
        <v>875</v>
      </c>
      <c r="E36" s="11">
        <v>1050</v>
      </c>
      <c r="F36" s="11">
        <v>980</v>
      </c>
      <c r="G36" s="2">
        <v>1575</v>
      </c>
    </row>
    <row r="37" spans="1:7" x14ac:dyDescent="0.3">
      <c r="A37" s="15">
        <f t="shared" si="0"/>
        <v>36</v>
      </c>
      <c r="B37" s="11">
        <v>648</v>
      </c>
      <c r="C37" s="11">
        <v>720</v>
      </c>
      <c r="D37" s="11">
        <v>900</v>
      </c>
      <c r="E37" s="11">
        <v>1080</v>
      </c>
      <c r="F37" s="11">
        <v>1008</v>
      </c>
      <c r="G37" s="2">
        <v>1620</v>
      </c>
    </row>
    <row r="38" spans="1:7" x14ac:dyDescent="0.3">
      <c r="A38" s="15">
        <f t="shared" si="0"/>
        <v>37</v>
      </c>
      <c r="B38" s="11">
        <v>666</v>
      </c>
      <c r="C38" s="11">
        <v>740</v>
      </c>
      <c r="D38" s="11">
        <v>925</v>
      </c>
      <c r="E38" s="11">
        <v>1110</v>
      </c>
      <c r="F38" s="11">
        <v>1036</v>
      </c>
      <c r="G38" s="2">
        <v>1665</v>
      </c>
    </row>
    <row r="39" spans="1:7" x14ac:dyDescent="0.3">
      <c r="A39" s="15">
        <f t="shared" si="0"/>
        <v>38</v>
      </c>
      <c r="B39" s="11">
        <v>684</v>
      </c>
      <c r="C39" s="11">
        <v>760</v>
      </c>
      <c r="D39" s="11">
        <v>950</v>
      </c>
      <c r="E39" s="11">
        <v>1140</v>
      </c>
      <c r="F39" s="11">
        <v>1064</v>
      </c>
      <c r="G39" s="2">
        <v>1710</v>
      </c>
    </row>
    <row r="40" spans="1:7" x14ac:dyDescent="0.3">
      <c r="A40" s="15">
        <f t="shared" si="0"/>
        <v>39</v>
      </c>
      <c r="B40" s="11">
        <v>702</v>
      </c>
      <c r="C40" s="11">
        <v>780</v>
      </c>
      <c r="D40" s="11">
        <v>975</v>
      </c>
      <c r="E40" s="11">
        <v>1170</v>
      </c>
      <c r="F40" s="11">
        <v>1092</v>
      </c>
      <c r="G40" s="2">
        <v>1755</v>
      </c>
    </row>
    <row r="41" spans="1:7" x14ac:dyDescent="0.3">
      <c r="A41" s="15">
        <f t="shared" si="0"/>
        <v>40</v>
      </c>
      <c r="B41" s="11">
        <v>720</v>
      </c>
      <c r="C41" s="11">
        <v>800</v>
      </c>
      <c r="D41" s="11">
        <v>1000</v>
      </c>
      <c r="E41" s="11">
        <v>1200</v>
      </c>
      <c r="F41" s="11">
        <v>1120</v>
      </c>
      <c r="G41" s="2">
        <v>1800</v>
      </c>
    </row>
    <row r="42" spans="1:7" x14ac:dyDescent="0.3">
      <c r="A42" s="15">
        <f t="shared" si="0"/>
        <v>41</v>
      </c>
      <c r="B42" s="11">
        <v>738</v>
      </c>
      <c r="C42" s="11">
        <v>820</v>
      </c>
      <c r="D42" s="11">
        <v>1025</v>
      </c>
      <c r="E42" s="11">
        <v>1230</v>
      </c>
      <c r="F42" s="11">
        <v>1148</v>
      </c>
      <c r="G42" s="2">
        <v>1845</v>
      </c>
    </row>
    <row r="43" spans="1:7" x14ac:dyDescent="0.3">
      <c r="A43" s="15">
        <f t="shared" si="0"/>
        <v>42</v>
      </c>
      <c r="B43" s="11">
        <v>756</v>
      </c>
      <c r="C43" s="11">
        <v>840</v>
      </c>
      <c r="D43" s="11">
        <v>1050</v>
      </c>
      <c r="E43" s="11">
        <v>1260</v>
      </c>
      <c r="F43" s="11">
        <v>1176</v>
      </c>
      <c r="G43" s="2">
        <v>1890</v>
      </c>
    </row>
    <row r="44" spans="1:7" x14ac:dyDescent="0.3">
      <c r="A44" s="15">
        <f t="shared" si="0"/>
        <v>43</v>
      </c>
      <c r="B44" s="11">
        <v>774</v>
      </c>
      <c r="C44" s="11">
        <v>860</v>
      </c>
      <c r="D44" s="11">
        <v>1075</v>
      </c>
      <c r="E44" s="11">
        <v>1290</v>
      </c>
      <c r="F44" s="11">
        <v>1204</v>
      </c>
      <c r="G44" s="2">
        <v>1935</v>
      </c>
    </row>
    <row r="45" spans="1:7" x14ac:dyDescent="0.3">
      <c r="A45" s="15">
        <f t="shared" si="0"/>
        <v>44</v>
      </c>
      <c r="B45" s="11">
        <v>792</v>
      </c>
      <c r="C45" s="11">
        <v>880</v>
      </c>
      <c r="D45" s="11">
        <v>1100</v>
      </c>
      <c r="E45" s="11">
        <v>1320</v>
      </c>
      <c r="F45" s="11">
        <v>1232</v>
      </c>
      <c r="G45" s="2">
        <v>1980</v>
      </c>
    </row>
    <row r="46" spans="1:7" x14ac:dyDescent="0.3">
      <c r="A46" s="15">
        <f t="shared" si="0"/>
        <v>45</v>
      </c>
      <c r="B46" s="11">
        <v>810</v>
      </c>
      <c r="C46" s="11">
        <v>900</v>
      </c>
      <c r="D46" s="11">
        <v>1125</v>
      </c>
      <c r="E46" s="11">
        <v>1350</v>
      </c>
      <c r="F46" s="11">
        <v>1260</v>
      </c>
      <c r="G46" s="2">
        <v>2025</v>
      </c>
    </row>
    <row r="47" spans="1:7" x14ac:dyDescent="0.3">
      <c r="A47" s="15">
        <f t="shared" si="0"/>
        <v>46</v>
      </c>
      <c r="B47" s="11">
        <v>828</v>
      </c>
      <c r="C47" s="11">
        <v>920</v>
      </c>
      <c r="D47" s="11">
        <v>1150</v>
      </c>
      <c r="E47" s="11">
        <v>1380</v>
      </c>
      <c r="F47" s="11">
        <v>1288</v>
      </c>
      <c r="G47" s="2">
        <v>2070</v>
      </c>
    </row>
    <row r="48" spans="1:7" x14ac:dyDescent="0.3">
      <c r="A48" s="15">
        <f t="shared" si="0"/>
        <v>47</v>
      </c>
      <c r="B48" s="11">
        <v>846</v>
      </c>
      <c r="C48" s="11">
        <v>940</v>
      </c>
      <c r="D48" s="11">
        <v>1175</v>
      </c>
      <c r="E48" s="11">
        <v>1410</v>
      </c>
      <c r="F48" s="11">
        <v>1316</v>
      </c>
      <c r="G48" s="2">
        <v>2115</v>
      </c>
    </row>
    <row r="49" spans="1:7" x14ac:dyDescent="0.3">
      <c r="A49" s="15">
        <f t="shared" si="0"/>
        <v>48</v>
      </c>
      <c r="B49" s="11">
        <v>864</v>
      </c>
      <c r="C49" s="11">
        <v>960</v>
      </c>
      <c r="D49" s="11">
        <v>1200</v>
      </c>
      <c r="E49" s="11">
        <v>1440</v>
      </c>
      <c r="F49" s="11">
        <v>1344</v>
      </c>
      <c r="G49" s="2">
        <v>2160</v>
      </c>
    </row>
    <row r="50" spans="1:7" x14ac:dyDescent="0.3">
      <c r="A50" s="15">
        <f t="shared" si="0"/>
        <v>49</v>
      </c>
      <c r="B50" s="11">
        <v>882</v>
      </c>
      <c r="C50" s="11">
        <v>980</v>
      </c>
      <c r="D50" s="11">
        <v>1225</v>
      </c>
      <c r="E50" s="11">
        <v>1470</v>
      </c>
      <c r="F50" s="11">
        <v>1372</v>
      </c>
      <c r="G50" s="2">
        <v>2205</v>
      </c>
    </row>
    <row r="51" spans="1:7" ht="15" thickBot="1" x14ac:dyDescent="0.35">
      <c r="A51" s="207">
        <f t="shared" si="0"/>
        <v>50</v>
      </c>
      <c r="B51" s="11">
        <v>900</v>
      </c>
      <c r="C51" s="11">
        <v>1000</v>
      </c>
      <c r="D51" s="11">
        <v>1250</v>
      </c>
      <c r="E51" s="11">
        <v>1500</v>
      </c>
      <c r="F51" s="11">
        <v>1400</v>
      </c>
      <c r="G51" s="2">
        <v>2250</v>
      </c>
    </row>
    <row r="52" spans="1:7" x14ac:dyDescent="0.3">
      <c r="A52" s="15"/>
      <c r="B52" s="11"/>
      <c r="C52" s="11"/>
      <c r="D52" s="11"/>
      <c r="E52" s="11"/>
      <c r="F52" s="11"/>
      <c r="G52" s="2"/>
    </row>
    <row r="53" spans="1:7" x14ac:dyDescent="0.3">
      <c r="A53" s="15"/>
      <c r="B53" s="11"/>
      <c r="C53" s="11"/>
      <c r="D53" s="11"/>
      <c r="E53" s="11"/>
      <c r="F53" s="11"/>
      <c r="G53" s="2"/>
    </row>
    <row r="54" spans="1:7" x14ac:dyDescent="0.3">
      <c r="A54" s="15"/>
      <c r="B54" s="11"/>
      <c r="C54" s="11"/>
      <c r="D54" s="11"/>
      <c r="E54" s="11"/>
      <c r="F54" s="11"/>
      <c r="G54" s="2"/>
    </row>
    <row r="55" spans="1:7" x14ac:dyDescent="0.3">
      <c r="A55" s="15"/>
      <c r="B55" s="11"/>
      <c r="C55" s="11"/>
      <c r="D55" s="11"/>
      <c r="E55" s="11"/>
      <c r="F55" s="11"/>
      <c r="G55" s="2"/>
    </row>
    <row r="56" spans="1:7" x14ac:dyDescent="0.3">
      <c r="A56" s="15"/>
      <c r="B56" s="11"/>
      <c r="C56" s="11"/>
      <c r="D56" s="11"/>
      <c r="E56" s="11"/>
      <c r="F56" s="11"/>
      <c r="G56" s="2"/>
    </row>
    <row r="57" spans="1:7" x14ac:dyDescent="0.3">
      <c r="A57" s="15"/>
      <c r="B57" s="11"/>
      <c r="C57" s="11"/>
      <c r="D57" s="11"/>
      <c r="E57" s="11"/>
      <c r="F57" s="11"/>
      <c r="G57" s="2"/>
    </row>
    <row r="58" spans="1:7" x14ac:dyDescent="0.3">
      <c r="A58" s="15"/>
      <c r="B58" s="11"/>
      <c r="C58" s="11"/>
      <c r="D58" s="11"/>
      <c r="E58" s="11"/>
      <c r="F58" s="11"/>
      <c r="G58" s="2"/>
    </row>
    <row r="59" spans="1:7" x14ac:dyDescent="0.3">
      <c r="A59" s="15"/>
      <c r="B59" s="11"/>
      <c r="C59" s="11"/>
      <c r="D59" s="11"/>
      <c r="E59" s="11"/>
      <c r="F59" s="11"/>
      <c r="G59" s="2"/>
    </row>
    <row r="60" spans="1:7" x14ac:dyDescent="0.3">
      <c r="A60" s="15"/>
      <c r="B60" s="11"/>
      <c r="C60" s="11"/>
      <c r="D60" s="11"/>
      <c r="E60" s="11"/>
      <c r="F60" s="11"/>
      <c r="G60" s="2"/>
    </row>
    <row r="61" spans="1:7" x14ac:dyDescent="0.3">
      <c r="A61" s="15"/>
      <c r="B61" s="11"/>
      <c r="C61" s="11"/>
      <c r="D61" s="11"/>
      <c r="E61" s="11"/>
      <c r="F61" s="11"/>
      <c r="G61" s="2"/>
    </row>
    <row r="62" spans="1:7" x14ac:dyDescent="0.3">
      <c r="A62" s="15"/>
      <c r="B62" s="11"/>
      <c r="C62" s="11"/>
      <c r="D62" s="11"/>
      <c r="E62" s="11"/>
      <c r="F62" s="11"/>
      <c r="G62" s="2"/>
    </row>
    <row r="63" spans="1:7" x14ac:dyDescent="0.3">
      <c r="A63" s="15"/>
      <c r="B63" s="11"/>
      <c r="C63" s="11"/>
      <c r="D63" s="11"/>
      <c r="E63" s="11"/>
      <c r="F63" s="11"/>
      <c r="G63" s="2"/>
    </row>
    <row r="64" spans="1:7" x14ac:dyDescent="0.3">
      <c r="A64" s="15"/>
      <c r="B64" s="11"/>
      <c r="C64" s="11"/>
      <c r="D64" s="11"/>
      <c r="E64" s="11"/>
      <c r="F64" s="11"/>
      <c r="G64" s="2"/>
    </row>
    <row r="65" spans="1:7" x14ac:dyDescent="0.3">
      <c r="A65" s="15"/>
      <c r="B65" s="11"/>
      <c r="C65" s="11"/>
      <c r="D65" s="11"/>
      <c r="E65" s="11"/>
      <c r="F65" s="11"/>
      <c r="G65" s="2"/>
    </row>
    <row r="66" spans="1:7" x14ac:dyDescent="0.3">
      <c r="A66" s="15"/>
      <c r="B66" s="11"/>
      <c r="C66" s="11"/>
      <c r="D66" s="11"/>
      <c r="E66" s="11"/>
      <c r="F66" s="11"/>
      <c r="G66" s="2"/>
    </row>
    <row r="67" spans="1:7" x14ac:dyDescent="0.3">
      <c r="A67" s="15"/>
      <c r="B67" s="11"/>
      <c r="C67" s="11"/>
      <c r="D67" s="11"/>
      <c r="E67" s="11"/>
      <c r="F67" s="11"/>
      <c r="G67" s="2"/>
    </row>
    <row r="68" spans="1:7" x14ac:dyDescent="0.3">
      <c r="A68" s="15"/>
      <c r="B68" s="11"/>
      <c r="C68" s="11"/>
      <c r="D68" s="11"/>
      <c r="E68" s="11"/>
      <c r="F68" s="11"/>
      <c r="G68" s="2"/>
    </row>
    <row r="69" spans="1:7" x14ac:dyDescent="0.3">
      <c r="A69" s="15"/>
      <c r="B69" s="11"/>
      <c r="C69" s="11"/>
      <c r="D69" s="11"/>
      <c r="E69" s="11"/>
      <c r="F69" s="11"/>
      <c r="G69" s="2"/>
    </row>
    <row r="70" spans="1:7" x14ac:dyDescent="0.3">
      <c r="A70" s="15"/>
      <c r="B70" s="11"/>
      <c r="C70" s="11"/>
      <c r="D70" s="11"/>
      <c r="E70" s="11"/>
      <c r="F70" s="11"/>
      <c r="G70" s="2"/>
    </row>
    <row r="71" spans="1:7" x14ac:dyDescent="0.3">
      <c r="A71" s="15"/>
      <c r="B71" s="11"/>
      <c r="C71" s="11"/>
      <c r="D71" s="11"/>
      <c r="E71" s="11"/>
      <c r="F71" s="11"/>
      <c r="G71" s="2"/>
    </row>
    <row r="72" spans="1:7" x14ac:dyDescent="0.3">
      <c r="A72" s="15"/>
      <c r="B72" s="11"/>
      <c r="C72" s="11"/>
      <c r="D72" s="11"/>
      <c r="E72" s="11"/>
      <c r="F72" s="11"/>
      <c r="G72" s="2"/>
    </row>
    <row r="73" spans="1:7" x14ac:dyDescent="0.3">
      <c r="A73" s="15"/>
      <c r="B73" s="11"/>
      <c r="C73" s="11"/>
      <c r="D73" s="11"/>
      <c r="E73" s="11"/>
      <c r="F73" s="11"/>
      <c r="G73" s="2"/>
    </row>
    <row r="74" spans="1:7" x14ac:dyDescent="0.3">
      <c r="A74" s="15"/>
      <c r="B74" s="11"/>
      <c r="C74" s="11"/>
      <c r="D74" s="11"/>
      <c r="E74" s="11"/>
      <c r="F74" s="11"/>
      <c r="G74" s="2"/>
    </row>
    <row r="75" spans="1:7" x14ac:dyDescent="0.3">
      <c r="A75" s="15"/>
      <c r="B75" s="11"/>
      <c r="C75" s="11"/>
      <c r="D75" s="11"/>
      <c r="E75" s="11"/>
      <c r="F75" s="11"/>
      <c r="G75" s="2"/>
    </row>
    <row r="76" spans="1:7" x14ac:dyDescent="0.3">
      <c r="A76" s="15"/>
      <c r="B76" s="11"/>
      <c r="C76" s="11"/>
      <c r="D76" s="11"/>
      <c r="E76" s="11"/>
      <c r="F76" s="11"/>
      <c r="G76" s="2"/>
    </row>
    <row r="77" spans="1:7" x14ac:dyDescent="0.3">
      <c r="A77" s="15"/>
      <c r="B77" s="11"/>
      <c r="C77" s="11"/>
      <c r="D77" s="11"/>
      <c r="E77" s="11"/>
      <c r="F77" s="11"/>
      <c r="G77" s="2"/>
    </row>
    <row r="78" spans="1:7" x14ac:dyDescent="0.3">
      <c r="A78" s="15"/>
      <c r="B78" s="11"/>
      <c r="C78" s="11"/>
      <c r="D78" s="11"/>
      <c r="E78" s="11"/>
      <c r="F78" s="11"/>
      <c r="G78" s="2"/>
    </row>
    <row r="79" spans="1:7" x14ac:dyDescent="0.3">
      <c r="A79" s="15"/>
      <c r="B79" s="11"/>
      <c r="C79" s="11"/>
      <c r="D79" s="11"/>
      <c r="E79" s="11"/>
      <c r="F79" s="11"/>
      <c r="G79" s="2"/>
    </row>
    <row r="80" spans="1:7" x14ac:dyDescent="0.3">
      <c r="A80" s="15"/>
      <c r="B80" s="11"/>
      <c r="C80" s="11"/>
      <c r="D80" s="11"/>
      <c r="E80" s="11"/>
      <c r="F80" s="11"/>
      <c r="G80" s="2"/>
    </row>
    <row r="81" spans="1:7" x14ac:dyDescent="0.3">
      <c r="A81" s="15"/>
      <c r="B81" s="11"/>
      <c r="C81" s="11"/>
      <c r="D81" s="11"/>
      <c r="E81" s="11"/>
      <c r="F81" s="11"/>
      <c r="G81" s="2"/>
    </row>
    <row r="82" spans="1:7" x14ac:dyDescent="0.3">
      <c r="A82" s="15"/>
      <c r="B82" s="11"/>
      <c r="C82" s="11"/>
      <c r="D82" s="11"/>
      <c r="E82" s="11"/>
      <c r="F82" s="11"/>
      <c r="G82" s="2"/>
    </row>
    <row r="83" spans="1:7" x14ac:dyDescent="0.3">
      <c r="A83" s="15"/>
      <c r="B83" s="11"/>
      <c r="C83" s="11"/>
      <c r="D83" s="11"/>
      <c r="E83" s="11"/>
      <c r="F83" s="11"/>
      <c r="G83" s="2"/>
    </row>
    <row r="84" spans="1:7" x14ac:dyDescent="0.3">
      <c r="A84" s="15"/>
      <c r="B84" s="11"/>
      <c r="C84" s="11"/>
      <c r="D84" s="11"/>
      <c r="E84" s="11"/>
      <c r="F84" s="11"/>
      <c r="G84" s="2"/>
    </row>
    <row r="85" spans="1:7" x14ac:dyDescent="0.3">
      <c r="A85" s="15"/>
      <c r="B85" s="11"/>
      <c r="C85" s="11"/>
      <c r="D85" s="11"/>
      <c r="E85" s="11"/>
      <c r="F85" s="11"/>
      <c r="G85" s="2"/>
    </row>
    <row r="86" spans="1:7" x14ac:dyDescent="0.3">
      <c r="A86" s="15"/>
      <c r="B86" s="11"/>
      <c r="C86" s="11"/>
      <c r="D86" s="11"/>
      <c r="E86" s="11"/>
      <c r="F86" s="11"/>
      <c r="G86" s="2"/>
    </row>
    <row r="87" spans="1:7" x14ac:dyDescent="0.3">
      <c r="A87" s="15"/>
      <c r="B87" s="11"/>
      <c r="C87" s="11"/>
      <c r="D87" s="11"/>
      <c r="E87" s="11"/>
      <c r="F87" s="11"/>
      <c r="G87" s="2"/>
    </row>
    <row r="88" spans="1:7" x14ac:dyDescent="0.3">
      <c r="A88" s="15"/>
      <c r="B88" s="11"/>
      <c r="C88" s="11"/>
      <c r="D88" s="11"/>
      <c r="E88" s="11"/>
      <c r="F88" s="11"/>
      <c r="G88" s="2"/>
    </row>
    <row r="89" spans="1:7" x14ac:dyDescent="0.3">
      <c r="A89" s="15"/>
      <c r="B89" s="11"/>
      <c r="C89" s="11"/>
      <c r="D89" s="11"/>
      <c r="E89" s="11"/>
      <c r="F89" s="11"/>
      <c r="G89" s="2"/>
    </row>
    <row r="90" spans="1:7" x14ac:dyDescent="0.3">
      <c r="A90" s="15"/>
      <c r="B90" s="11"/>
      <c r="C90" s="11"/>
      <c r="D90" s="11"/>
      <c r="E90" s="11"/>
      <c r="F90" s="11"/>
      <c r="G90" s="2"/>
    </row>
    <row r="91" spans="1:7" x14ac:dyDescent="0.3">
      <c r="A91" s="15"/>
      <c r="B91" s="11"/>
      <c r="C91" s="11"/>
      <c r="D91" s="11"/>
      <c r="E91" s="11"/>
      <c r="F91" s="11"/>
      <c r="G91" s="2"/>
    </row>
    <row r="92" spans="1:7" x14ac:dyDescent="0.3">
      <c r="A92" s="15"/>
      <c r="B92" s="11"/>
      <c r="C92" s="11"/>
      <c r="D92" s="11"/>
      <c r="E92" s="11"/>
      <c r="F92" s="11"/>
      <c r="G92" s="2"/>
    </row>
    <row r="93" spans="1:7" x14ac:dyDescent="0.3">
      <c r="A93" s="15"/>
      <c r="B93" s="11"/>
      <c r="C93" s="11"/>
      <c r="D93" s="11"/>
      <c r="E93" s="11"/>
      <c r="F93" s="11"/>
      <c r="G93" s="2"/>
    </row>
    <row r="94" spans="1:7" x14ac:dyDescent="0.3">
      <c r="A94" s="15"/>
      <c r="B94" s="11"/>
      <c r="C94" s="11"/>
      <c r="D94" s="11"/>
      <c r="E94" s="11"/>
      <c r="F94" s="11"/>
      <c r="G94" s="2"/>
    </row>
    <row r="95" spans="1:7" x14ac:dyDescent="0.3">
      <c r="A95" s="15"/>
      <c r="B95" s="11"/>
      <c r="C95" s="11"/>
      <c r="D95" s="11"/>
      <c r="E95" s="11"/>
      <c r="F95" s="11"/>
      <c r="G95" s="2"/>
    </row>
    <row r="96" spans="1:7" x14ac:dyDescent="0.3">
      <c r="A96" s="15"/>
      <c r="B96" s="11"/>
      <c r="C96" s="11"/>
      <c r="D96" s="11"/>
      <c r="E96" s="11"/>
      <c r="F96" s="11"/>
      <c r="G96" s="2"/>
    </row>
    <row r="97" spans="1:7" x14ac:dyDescent="0.3">
      <c r="A97" s="15"/>
      <c r="B97" s="11"/>
      <c r="C97" s="11"/>
      <c r="D97" s="11"/>
      <c r="E97" s="11"/>
      <c r="F97" s="11"/>
      <c r="G97" s="2"/>
    </row>
    <row r="98" spans="1:7" x14ac:dyDescent="0.3">
      <c r="A98" s="15"/>
      <c r="B98" s="11"/>
      <c r="C98" s="11"/>
      <c r="D98" s="11"/>
      <c r="E98" s="11"/>
      <c r="F98" s="11"/>
      <c r="G98" s="2"/>
    </row>
    <row r="99" spans="1:7" x14ac:dyDescent="0.3">
      <c r="A99" s="15"/>
      <c r="B99" s="11"/>
      <c r="C99" s="11"/>
      <c r="D99" s="11"/>
      <c r="E99" s="11"/>
      <c r="F99" s="11"/>
      <c r="G99" s="2"/>
    </row>
    <row r="100" spans="1:7" x14ac:dyDescent="0.3">
      <c r="A100" s="15"/>
      <c r="B100" s="11"/>
      <c r="C100" s="11"/>
      <c r="D100" s="11"/>
      <c r="E100" s="11"/>
      <c r="F100" s="11"/>
      <c r="G100" s="2"/>
    </row>
    <row r="101" spans="1:7" x14ac:dyDescent="0.3">
      <c r="A101" s="15"/>
      <c r="B101" s="11"/>
      <c r="C101" s="11"/>
      <c r="D101" s="11"/>
      <c r="E101" s="11"/>
      <c r="F101" s="11"/>
      <c r="G101" s="2"/>
    </row>
    <row r="102" spans="1:7" x14ac:dyDescent="0.3">
      <c r="A102" s="15"/>
      <c r="B102" s="11"/>
      <c r="C102" s="11"/>
      <c r="D102" s="11"/>
      <c r="E102" s="11"/>
      <c r="F102" s="11"/>
      <c r="G102" s="2"/>
    </row>
    <row r="103" spans="1:7" x14ac:dyDescent="0.3">
      <c r="A103" s="15"/>
      <c r="B103" s="11"/>
      <c r="C103" s="11"/>
      <c r="D103" s="11"/>
      <c r="E103" s="11"/>
      <c r="F103" s="11"/>
      <c r="G10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E36B-46A2-44AA-B271-C251E90F4E46}">
  <dimension ref="A1:G103"/>
  <sheetViews>
    <sheetView topLeftCell="A25" workbookViewId="0">
      <selection activeCell="A2" sqref="A2:A51"/>
    </sheetView>
  </sheetViews>
  <sheetFormatPr defaultRowHeight="14.4" x14ac:dyDescent="0.3"/>
  <cols>
    <col min="1" max="1" width="12.21875" bestFit="1" customWidth="1"/>
    <col min="2" max="2" width="11.5546875" bestFit="1" customWidth="1"/>
    <col min="3" max="3" width="12.88671875" bestFit="1" customWidth="1"/>
    <col min="4" max="4" width="12.44140625" bestFit="1" customWidth="1"/>
    <col min="5" max="5" width="12.88671875" bestFit="1" customWidth="1"/>
    <col min="6" max="6" width="11.109375" customWidth="1"/>
  </cols>
  <sheetData>
    <row r="1" spans="1:7" ht="43.2" x14ac:dyDescent="0.3">
      <c r="A1" s="105" t="s">
        <v>5</v>
      </c>
      <c r="B1" s="106" t="s">
        <v>1</v>
      </c>
      <c r="C1" s="106" t="s">
        <v>2</v>
      </c>
      <c r="D1" s="106" t="s">
        <v>3</v>
      </c>
      <c r="E1" s="106" t="s">
        <v>4</v>
      </c>
      <c r="F1" s="107" t="s">
        <v>8</v>
      </c>
      <c r="G1" s="107" t="s">
        <v>7</v>
      </c>
    </row>
    <row r="2" spans="1:7" x14ac:dyDescent="0.3">
      <c r="A2" s="148">
        <v>1</v>
      </c>
      <c r="B2" s="11" cm="1">
        <f t="array" ref="B2:B51">VLOOKUP(A2:A51, WITHINCITY!B4:C53,2,0)</f>
        <v>15</v>
      </c>
      <c r="C2" s="11" cm="1">
        <f t="array" ref="C2:C51">VLOOKUP(A2:A51, WITHINSTATE!B4:C53,2,0)</f>
        <v>35</v>
      </c>
      <c r="D2" s="11" cm="1">
        <f t="array" ref="D2:D51">VLOOKUP(A2:A51, WITHINZONE!B4:C53,2,0)</f>
        <v>40</v>
      </c>
      <c r="E2" s="11" cm="1">
        <f t="array" ref="E2:E51">VLOOKUP(A2:A51, RESTOFINDIA!B4:C53,2,0)</f>
        <v>70</v>
      </c>
      <c r="F2" s="11" cm="1">
        <f t="array" ref="F2:F51">VLOOKUP(A2:A51, 'METRO TO METRO'!B4:C53,2,0)</f>
        <v>70</v>
      </c>
      <c r="G2" s="2" cm="1">
        <f t="array" ref="G2:G51">VLOOKUP(A2:A51, SPECIALDESTINATION!B4:C53,2,0)</f>
        <v>70</v>
      </c>
    </row>
    <row r="3" spans="1:7" x14ac:dyDescent="0.3">
      <c r="A3" s="15">
        <f>A2 + 1</f>
        <v>2</v>
      </c>
      <c r="B3" s="11">
        <v>30</v>
      </c>
      <c r="C3" s="11">
        <v>70</v>
      </c>
      <c r="D3" s="11">
        <v>80</v>
      </c>
      <c r="E3" s="11">
        <v>140</v>
      </c>
      <c r="F3" s="11">
        <v>140</v>
      </c>
      <c r="G3" s="2">
        <v>140</v>
      </c>
    </row>
    <row r="4" spans="1:7" x14ac:dyDescent="0.3">
      <c r="A4" s="15">
        <f t="shared" ref="A4:A51" si="0">A3 + 1</f>
        <v>3</v>
      </c>
      <c r="B4" s="11">
        <v>45</v>
      </c>
      <c r="C4" s="11">
        <v>105</v>
      </c>
      <c r="D4" s="11">
        <v>120</v>
      </c>
      <c r="E4" s="11">
        <v>210</v>
      </c>
      <c r="F4" s="11">
        <v>210</v>
      </c>
      <c r="G4" s="2">
        <v>210</v>
      </c>
    </row>
    <row r="5" spans="1:7" x14ac:dyDescent="0.3">
      <c r="A5" s="15">
        <f t="shared" si="0"/>
        <v>4</v>
      </c>
      <c r="B5" s="11">
        <v>60</v>
      </c>
      <c r="C5" s="11">
        <v>140</v>
      </c>
      <c r="D5" s="11">
        <v>160</v>
      </c>
      <c r="E5" s="11">
        <v>280</v>
      </c>
      <c r="F5" s="11">
        <v>280</v>
      </c>
      <c r="G5" s="2">
        <v>280</v>
      </c>
    </row>
    <row r="6" spans="1:7" x14ac:dyDescent="0.3">
      <c r="A6" s="15">
        <f t="shared" si="0"/>
        <v>5</v>
      </c>
      <c r="B6" s="11">
        <v>75</v>
      </c>
      <c r="C6" s="11">
        <v>175</v>
      </c>
      <c r="D6" s="11">
        <v>200</v>
      </c>
      <c r="E6" s="11">
        <v>350</v>
      </c>
      <c r="F6" s="11">
        <v>350</v>
      </c>
      <c r="G6" s="2">
        <v>350</v>
      </c>
    </row>
    <row r="7" spans="1:7" x14ac:dyDescent="0.3">
      <c r="A7" s="15">
        <f t="shared" si="0"/>
        <v>6</v>
      </c>
      <c r="B7" s="11">
        <v>90</v>
      </c>
      <c r="C7" s="11">
        <v>210</v>
      </c>
      <c r="D7" s="11">
        <v>240</v>
      </c>
      <c r="E7" s="11">
        <v>420</v>
      </c>
      <c r="F7" s="11">
        <v>420</v>
      </c>
      <c r="G7" s="2">
        <v>420</v>
      </c>
    </row>
    <row r="8" spans="1:7" x14ac:dyDescent="0.3">
      <c r="A8" s="15">
        <f t="shared" si="0"/>
        <v>7</v>
      </c>
      <c r="B8" s="11">
        <v>105</v>
      </c>
      <c r="C8" s="11">
        <v>245</v>
      </c>
      <c r="D8" s="11">
        <v>280</v>
      </c>
      <c r="E8" s="11">
        <v>490</v>
      </c>
      <c r="F8" s="11">
        <v>490</v>
      </c>
      <c r="G8" s="2">
        <v>490</v>
      </c>
    </row>
    <row r="9" spans="1:7" x14ac:dyDescent="0.3">
      <c r="A9" s="15">
        <f t="shared" si="0"/>
        <v>8</v>
      </c>
      <c r="B9" s="11">
        <v>120</v>
      </c>
      <c r="C9" s="11">
        <v>280</v>
      </c>
      <c r="D9" s="11">
        <v>320</v>
      </c>
      <c r="E9" s="11">
        <v>560</v>
      </c>
      <c r="F9" s="11">
        <v>560</v>
      </c>
      <c r="G9" s="2">
        <v>560</v>
      </c>
    </row>
    <row r="10" spans="1:7" x14ac:dyDescent="0.3">
      <c r="A10" s="15">
        <f t="shared" si="0"/>
        <v>9</v>
      </c>
      <c r="B10" s="11">
        <v>135</v>
      </c>
      <c r="C10" s="11">
        <v>315</v>
      </c>
      <c r="D10" s="11">
        <v>360</v>
      </c>
      <c r="E10" s="11">
        <v>630</v>
      </c>
      <c r="F10" s="11">
        <v>630</v>
      </c>
      <c r="G10" s="2">
        <v>630</v>
      </c>
    </row>
    <row r="11" spans="1:7" x14ac:dyDescent="0.3">
      <c r="A11" s="15">
        <f t="shared" si="0"/>
        <v>10</v>
      </c>
      <c r="B11" s="11">
        <v>150</v>
      </c>
      <c r="C11" s="11">
        <v>350</v>
      </c>
      <c r="D11" s="11">
        <v>400</v>
      </c>
      <c r="E11" s="11">
        <v>700</v>
      </c>
      <c r="F11" s="11">
        <v>700</v>
      </c>
      <c r="G11" s="2">
        <v>700</v>
      </c>
    </row>
    <row r="12" spans="1:7" x14ac:dyDescent="0.3">
      <c r="A12" s="15">
        <f t="shared" si="0"/>
        <v>11</v>
      </c>
      <c r="B12" s="11">
        <v>165</v>
      </c>
      <c r="C12" s="11">
        <v>385</v>
      </c>
      <c r="D12" s="11">
        <v>440</v>
      </c>
      <c r="E12" s="11">
        <v>770</v>
      </c>
      <c r="F12" s="11">
        <v>770</v>
      </c>
      <c r="G12" s="2">
        <v>770</v>
      </c>
    </row>
    <row r="13" spans="1:7" x14ac:dyDescent="0.3">
      <c r="A13" s="15">
        <f t="shared" si="0"/>
        <v>12</v>
      </c>
      <c r="B13" s="11">
        <v>180</v>
      </c>
      <c r="C13" s="11">
        <v>420</v>
      </c>
      <c r="D13" s="11">
        <v>480</v>
      </c>
      <c r="E13" s="11">
        <v>840</v>
      </c>
      <c r="F13" s="11">
        <v>840</v>
      </c>
      <c r="G13" s="2">
        <v>840</v>
      </c>
    </row>
    <row r="14" spans="1:7" x14ac:dyDescent="0.3">
      <c r="A14" s="15">
        <f t="shared" si="0"/>
        <v>13</v>
      </c>
      <c r="B14" s="11">
        <v>195</v>
      </c>
      <c r="C14" s="11">
        <v>455</v>
      </c>
      <c r="D14" s="11">
        <v>520</v>
      </c>
      <c r="E14" s="11">
        <v>910</v>
      </c>
      <c r="F14" s="11">
        <v>910</v>
      </c>
      <c r="G14" s="2">
        <v>910</v>
      </c>
    </row>
    <row r="15" spans="1:7" x14ac:dyDescent="0.3">
      <c r="A15" s="15">
        <f t="shared" si="0"/>
        <v>14</v>
      </c>
      <c r="B15" s="11">
        <v>210</v>
      </c>
      <c r="C15" s="11">
        <v>490</v>
      </c>
      <c r="D15" s="11">
        <v>560</v>
      </c>
      <c r="E15" s="11">
        <v>980</v>
      </c>
      <c r="F15" s="11">
        <v>980</v>
      </c>
      <c r="G15" s="2">
        <v>980</v>
      </c>
    </row>
    <row r="16" spans="1:7" x14ac:dyDescent="0.3">
      <c r="A16" s="15">
        <f t="shared" si="0"/>
        <v>15</v>
      </c>
      <c r="B16" s="11">
        <v>225</v>
      </c>
      <c r="C16" s="11">
        <v>525</v>
      </c>
      <c r="D16" s="11">
        <v>600</v>
      </c>
      <c r="E16" s="11">
        <v>1050</v>
      </c>
      <c r="F16" s="11">
        <v>1050</v>
      </c>
      <c r="G16" s="2">
        <v>1050</v>
      </c>
    </row>
    <row r="17" spans="1:7" x14ac:dyDescent="0.3">
      <c r="A17" s="15">
        <f t="shared" si="0"/>
        <v>16</v>
      </c>
      <c r="B17" s="11">
        <v>240</v>
      </c>
      <c r="C17" s="11">
        <v>560</v>
      </c>
      <c r="D17" s="11">
        <v>640</v>
      </c>
      <c r="E17" s="11">
        <v>1120</v>
      </c>
      <c r="F17" s="11">
        <v>1120</v>
      </c>
      <c r="G17" s="2">
        <v>1120</v>
      </c>
    </row>
    <row r="18" spans="1:7" x14ac:dyDescent="0.3">
      <c r="A18" s="15">
        <f t="shared" si="0"/>
        <v>17</v>
      </c>
      <c r="B18" s="11">
        <v>255</v>
      </c>
      <c r="C18" s="11">
        <v>595</v>
      </c>
      <c r="D18" s="11">
        <v>680</v>
      </c>
      <c r="E18" s="11">
        <v>1190</v>
      </c>
      <c r="F18" s="11">
        <v>1190</v>
      </c>
      <c r="G18" s="2">
        <v>1190</v>
      </c>
    </row>
    <row r="19" spans="1:7" x14ac:dyDescent="0.3">
      <c r="A19" s="15">
        <f t="shared" si="0"/>
        <v>18</v>
      </c>
      <c r="B19" s="11">
        <v>270</v>
      </c>
      <c r="C19" s="11">
        <v>630</v>
      </c>
      <c r="D19" s="11">
        <v>720</v>
      </c>
      <c r="E19" s="11">
        <v>1260</v>
      </c>
      <c r="F19" s="11">
        <v>1260</v>
      </c>
      <c r="G19" s="2">
        <v>1260</v>
      </c>
    </row>
    <row r="20" spans="1:7" x14ac:dyDescent="0.3">
      <c r="A20" s="15">
        <f t="shared" si="0"/>
        <v>19</v>
      </c>
      <c r="B20" s="11">
        <v>285</v>
      </c>
      <c r="C20" s="11">
        <v>665</v>
      </c>
      <c r="D20" s="11">
        <v>760</v>
      </c>
      <c r="E20" s="11">
        <v>1330</v>
      </c>
      <c r="F20" s="11">
        <v>1330</v>
      </c>
      <c r="G20" s="2">
        <v>1330</v>
      </c>
    </row>
    <row r="21" spans="1:7" x14ac:dyDescent="0.3">
      <c r="A21" s="15">
        <f t="shared" si="0"/>
        <v>20</v>
      </c>
      <c r="B21" s="11">
        <v>300</v>
      </c>
      <c r="C21" s="11">
        <v>700</v>
      </c>
      <c r="D21" s="11">
        <v>800</v>
      </c>
      <c r="E21" s="11">
        <v>1400</v>
      </c>
      <c r="F21" s="11">
        <v>1400</v>
      </c>
      <c r="G21" s="2">
        <v>1400</v>
      </c>
    </row>
    <row r="22" spans="1:7" x14ac:dyDescent="0.3">
      <c r="A22" s="15">
        <f t="shared" si="0"/>
        <v>21</v>
      </c>
      <c r="B22" s="11">
        <v>315</v>
      </c>
      <c r="C22" s="11">
        <v>735</v>
      </c>
      <c r="D22" s="11">
        <v>840</v>
      </c>
      <c r="E22" s="11">
        <v>1470</v>
      </c>
      <c r="F22" s="11">
        <v>1470</v>
      </c>
      <c r="G22" s="2">
        <v>1470</v>
      </c>
    </row>
    <row r="23" spans="1:7" x14ac:dyDescent="0.3">
      <c r="A23" s="15">
        <f t="shared" si="0"/>
        <v>22</v>
      </c>
      <c r="B23" s="11">
        <v>330</v>
      </c>
      <c r="C23" s="11">
        <v>770</v>
      </c>
      <c r="D23" s="11">
        <v>880</v>
      </c>
      <c r="E23" s="11">
        <v>1540</v>
      </c>
      <c r="F23" s="11">
        <v>1540</v>
      </c>
      <c r="G23" s="2">
        <v>1540</v>
      </c>
    </row>
    <row r="24" spans="1:7" x14ac:dyDescent="0.3">
      <c r="A24" s="15">
        <f t="shared" si="0"/>
        <v>23</v>
      </c>
      <c r="B24" s="11">
        <v>345</v>
      </c>
      <c r="C24" s="11">
        <v>805</v>
      </c>
      <c r="D24" s="11">
        <v>920</v>
      </c>
      <c r="E24" s="11">
        <v>1610</v>
      </c>
      <c r="F24" s="11">
        <v>1610</v>
      </c>
      <c r="G24" s="2">
        <v>1610</v>
      </c>
    </row>
    <row r="25" spans="1:7" x14ac:dyDescent="0.3">
      <c r="A25" s="15">
        <f t="shared" si="0"/>
        <v>24</v>
      </c>
      <c r="B25" s="11">
        <v>360</v>
      </c>
      <c r="C25" s="11">
        <v>840</v>
      </c>
      <c r="D25" s="11">
        <v>960</v>
      </c>
      <c r="E25" s="11">
        <v>1680</v>
      </c>
      <c r="F25" s="11">
        <v>1680</v>
      </c>
      <c r="G25" s="2">
        <v>1680</v>
      </c>
    </row>
    <row r="26" spans="1:7" x14ac:dyDescent="0.3">
      <c r="A26" s="15">
        <f t="shared" si="0"/>
        <v>25</v>
      </c>
      <c r="B26" s="11">
        <v>375</v>
      </c>
      <c r="C26" s="11">
        <v>875</v>
      </c>
      <c r="D26" s="11">
        <v>1000</v>
      </c>
      <c r="E26" s="11">
        <v>1750</v>
      </c>
      <c r="F26" s="11">
        <v>1750</v>
      </c>
      <c r="G26" s="2">
        <v>1750</v>
      </c>
    </row>
    <row r="27" spans="1:7" x14ac:dyDescent="0.3">
      <c r="A27" s="15">
        <f t="shared" si="0"/>
        <v>26</v>
      </c>
      <c r="B27" s="11">
        <v>390</v>
      </c>
      <c r="C27" s="11">
        <v>910</v>
      </c>
      <c r="D27" s="11">
        <v>1040</v>
      </c>
      <c r="E27" s="11">
        <v>1820</v>
      </c>
      <c r="F27" s="11">
        <v>1820</v>
      </c>
      <c r="G27" s="2">
        <v>1820</v>
      </c>
    </row>
    <row r="28" spans="1:7" x14ac:dyDescent="0.3">
      <c r="A28" s="15">
        <f t="shared" si="0"/>
        <v>27</v>
      </c>
      <c r="B28" s="11">
        <v>405</v>
      </c>
      <c r="C28" s="11">
        <v>945</v>
      </c>
      <c r="D28" s="11">
        <v>1080</v>
      </c>
      <c r="E28" s="11">
        <v>1890</v>
      </c>
      <c r="F28" s="11">
        <v>1890</v>
      </c>
      <c r="G28" s="2">
        <v>1890</v>
      </c>
    </row>
    <row r="29" spans="1:7" x14ac:dyDescent="0.3">
      <c r="A29" s="15">
        <f t="shared" si="0"/>
        <v>28</v>
      </c>
      <c r="B29" s="11">
        <v>420</v>
      </c>
      <c r="C29" s="11">
        <v>980</v>
      </c>
      <c r="D29" s="11">
        <v>1120</v>
      </c>
      <c r="E29" s="11">
        <v>1960</v>
      </c>
      <c r="F29" s="11">
        <v>1960</v>
      </c>
      <c r="G29" s="2">
        <v>1960</v>
      </c>
    </row>
    <row r="30" spans="1:7" x14ac:dyDescent="0.3">
      <c r="A30" s="15">
        <f t="shared" si="0"/>
        <v>29</v>
      </c>
      <c r="B30" s="11">
        <v>435</v>
      </c>
      <c r="C30" s="11">
        <v>1015</v>
      </c>
      <c r="D30" s="11">
        <v>1160</v>
      </c>
      <c r="E30" s="11">
        <v>2030</v>
      </c>
      <c r="F30" s="11">
        <v>2030</v>
      </c>
      <c r="G30" s="2">
        <v>2030</v>
      </c>
    </row>
    <row r="31" spans="1:7" x14ac:dyDescent="0.3">
      <c r="A31" s="15">
        <f t="shared" si="0"/>
        <v>30</v>
      </c>
      <c r="B31" s="11">
        <v>450</v>
      </c>
      <c r="C31" s="11">
        <v>1050</v>
      </c>
      <c r="D31" s="11">
        <v>1200</v>
      </c>
      <c r="E31" s="11">
        <v>2100</v>
      </c>
      <c r="F31" s="11">
        <v>2100</v>
      </c>
      <c r="G31" s="2">
        <v>2100</v>
      </c>
    </row>
    <row r="32" spans="1:7" x14ac:dyDescent="0.3">
      <c r="A32" s="15">
        <f t="shared" si="0"/>
        <v>31</v>
      </c>
      <c r="B32" s="11">
        <v>465</v>
      </c>
      <c r="C32" s="11">
        <v>1085</v>
      </c>
      <c r="D32" s="11">
        <v>1240</v>
      </c>
      <c r="E32" s="11">
        <v>2170</v>
      </c>
      <c r="F32" s="11">
        <v>2170</v>
      </c>
      <c r="G32" s="2">
        <v>2170</v>
      </c>
    </row>
    <row r="33" spans="1:7" x14ac:dyDescent="0.3">
      <c r="A33" s="15">
        <f t="shared" si="0"/>
        <v>32</v>
      </c>
      <c r="B33" s="11">
        <v>480</v>
      </c>
      <c r="C33" s="11">
        <v>1120</v>
      </c>
      <c r="D33" s="11">
        <v>1280</v>
      </c>
      <c r="E33" s="11">
        <v>2240</v>
      </c>
      <c r="F33" s="11">
        <v>2240</v>
      </c>
      <c r="G33" s="2">
        <v>2240</v>
      </c>
    </row>
    <row r="34" spans="1:7" x14ac:dyDescent="0.3">
      <c r="A34" s="15">
        <f t="shared" si="0"/>
        <v>33</v>
      </c>
      <c r="B34" s="11">
        <v>495</v>
      </c>
      <c r="C34" s="11">
        <v>1155</v>
      </c>
      <c r="D34" s="11">
        <v>1320</v>
      </c>
      <c r="E34" s="11">
        <v>2310</v>
      </c>
      <c r="F34" s="11">
        <v>2310</v>
      </c>
      <c r="G34" s="2">
        <v>2310</v>
      </c>
    </row>
    <row r="35" spans="1:7" x14ac:dyDescent="0.3">
      <c r="A35" s="15">
        <f t="shared" si="0"/>
        <v>34</v>
      </c>
      <c r="B35" s="11">
        <v>510</v>
      </c>
      <c r="C35" s="11">
        <v>1190</v>
      </c>
      <c r="D35" s="11">
        <v>1360</v>
      </c>
      <c r="E35" s="11">
        <v>2380</v>
      </c>
      <c r="F35" s="11">
        <v>2380</v>
      </c>
      <c r="G35" s="2">
        <v>2380</v>
      </c>
    </row>
    <row r="36" spans="1:7" x14ac:dyDescent="0.3">
      <c r="A36" s="15">
        <f t="shared" si="0"/>
        <v>35</v>
      </c>
      <c r="B36" s="11">
        <v>525</v>
      </c>
      <c r="C36" s="11">
        <v>1225</v>
      </c>
      <c r="D36" s="11">
        <v>1400</v>
      </c>
      <c r="E36" s="11">
        <v>2450</v>
      </c>
      <c r="F36" s="11">
        <v>2450</v>
      </c>
      <c r="G36" s="2">
        <v>2450</v>
      </c>
    </row>
    <row r="37" spans="1:7" x14ac:dyDescent="0.3">
      <c r="A37" s="15">
        <f t="shared" si="0"/>
        <v>36</v>
      </c>
      <c r="B37" s="11">
        <v>540</v>
      </c>
      <c r="C37" s="11">
        <v>1260</v>
      </c>
      <c r="D37" s="11">
        <v>1440</v>
      </c>
      <c r="E37" s="11">
        <v>2520</v>
      </c>
      <c r="F37" s="11">
        <v>2520</v>
      </c>
      <c r="G37" s="2">
        <v>2520</v>
      </c>
    </row>
    <row r="38" spans="1:7" x14ac:dyDescent="0.3">
      <c r="A38" s="15">
        <f t="shared" si="0"/>
        <v>37</v>
      </c>
      <c r="B38" s="11">
        <v>555</v>
      </c>
      <c r="C38" s="11">
        <v>1295</v>
      </c>
      <c r="D38" s="11">
        <v>1480</v>
      </c>
      <c r="E38" s="11">
        <v>2590</v>
      </c>
      <c r="F38" s="11">
        <v>2590</v>
      </c>
      <c r="G38" s="2">
        <v>2590</v>
      </c>
    </row>
    <row r="39" spans="1:7" x14ac:dyDescent="0.3">
      <c r="A39" s="15">
        <f t="shared" si="0"/>
        <v>38</v>
      </c>
      <c r="B39" s="11">
        <v>570</v>
      </c>
      <c r="C39" s="11">
        <v>1330</v>
      </c>
      <c r="D39" s="11">
        <v>1520</v>
      </c>
      <c r="E39" s="11">
        <v>2660</v>
      </c>
      <c r="F39" s="11">
        <v>2660</v>
      </c>
      <c r="G39" s="2">
        <v>2660</v>
      </c>
    </row>
    <row r="40" spans="1:7" x14ac:dyDescent="0.3">
      <c r="A40" s="15">
        <f t="shared" si="0"/>
        <v>39</v>
      </c>
      <c r="B40" s="11">
        <v>585</v>
      </c>
      <c r="C40" s="11">
        <v>1365</v>
      </c>
      <c r="D40" s="11">
        <v>1560</v>
      </c>
      <c r="E40" s="11">
        <v>2730</v>
      </c>
      <c r="F40" s="11">
        <v>2730</v>
      </c>
      <c r="G40" s="2">
        <v>2730</v>
      </c>
    </row>
    <row r="41" spans="1:7" x14ac:dyDescent="0.3">
      <c r="A41" s="15">
        <f t="shared" si="0"/>
        <v>40</v>
      </c>
      <c r="B41" s="11">
        <v>600</v>
      </c>
      <c r="C41" s="11">
        <v>1400</v>
      </c>
      <c r="D41" s="11">
        <v>1600</v>
      </c>
      <c r="E41" s="11">
        <v>2800</v>
      </c>
      <c r="F41" s="11">
        <v>2800</v>
      </c>
      <c r="G41" s="2">
        <v>2800</v>
      </c>
    </row>
    <row r="42" spans="1:7" x14ac:dyDescent="0.3">
      <c r="A42" s="15">
        <f t="shared" si="0"/>
        <v>41</v>
      </c>
      <c r="B42" s="11">
        <v>615</v>
      </c>
      <c r="C42" s="11">
        <v>1435</v>
      </c>
      <c r="D42" s="11">
        <v>1640</v>
      </c>
      <c r="E42" s="11">
        <v>2870</v>
      </c>
      <c r="F42" s="11">
        <v>2870</v>
      </c>
      <c r="G42" s="2">
        <v>2870</v>
      </c>
    </row>
    <row r="43" spans="1:7" x14ac:dyDescent="0.3">
      <c r="A43" s="15">
        <f t="shared" si="0"/>
        <v>42</v>
      </c>
      <c r="B43" s="11">
        <v>630</v>
      </c>
      <c r="C43" s="11">
        <v>1470</v>
      </c>
      <c r="D43" s="11">
        <v>1680</v>
      </c>
      <c r="E43" s="11">
        <v>2940</v>
      </c>
      <c r="F43" s="11">
        <v>2940</v>
      </c>
      <c r="G43" s="2">
        <v>2940</v>
      </c>
    </row>
    <row r="44" spans="1:7" x14ac:dyDescent="0.3">
      <c r="A44" s="15">
        <f t="shared" si="0"/>
        <v>43</v>
      </c>
      <c r="B44" s="11">
        <v>645</v>
      </c>
      <c r="C44" s="11">
        <v>1505</v>
      </c>
      <c r="D44" s="11">
        <v>1720</v>
      </c>
      <c r="E44" s="11">
        <v>3010</v>
      </c>
      <c r="F44" s="11">
        <v>3010</v>
      </c>
      <c r="G44" s="2">
        <v>3010</v>
      </c>
    </row>
    <row r="45" spans="1:7" x14ac:dyDescent="0.3">
      <c r="A45" s="15">
        <f t="shared" si="0"/>
        <v>44</v>
      </c>
      <c r="B45" s="11">
        <v>660</v>
      </c>
      <c r="C45" s="11">
        <v>1540</v>
      </c>
      <c r="D45" s="11">
        <v>1760</v>
      </c>
      <c r="E45" s="11">
        <v>3080</v>
      </c>
      <c r="F45" s="11">
        <v>3080</v>
      </c>
      <c r="G45" s="2">
        <v>3080</v>
      </c>
    </row>
    <row r="46" spans="1:7" x14ac:dyDescent="0.3">
      <c r="A46" s="15">
        <f t="shared" si="0"/>
        <v>45</v>
      </c>
      <c r="B46" s="11">
        <v>675</v>
      </c>
      <c r="C46" s="11">
        <v>1575</v>
      </c>
      <c r="D46" s="11">
        <v>1800</v>
      </c>
      <c r="E46" s="11">
        <v>3150</v>
      </c>
      <c r="F46" s="11">
        <v>3150</v>
      </c>
      <c r="G46" s="2">
        <v>3150</v>
      </c>
    </row>
    <row r="47" spans="1:7" x14ac:dyDescent="0.3">
      <c r="A47" s="15">
        <f t="shared" si="0"/>
        <v>46</v>
      </c>
      <c r="B47" s="11">
        <v>690</v>
      </c>
      <c r="C47" s="11">
        <v>1610</v>
      </c>
      <c r="D47" s="11">
        <v>1840</v>
      </c>
      <c r="E47" s="11">
        <v>3220</v>
      </c>
      <c r="F47" s="11">
        <v>3220</v>
      </c>
      <c r="G47" s="2">
        <v>3220</v>
      </c>
    </row>
    <row r="48" spans="1:7" x14ac:dyDescent="0.3">
      <c r="A48" s="15">
        <f t="shared" si="0"/>
        <v>47</v>
      </c>
      <c r="B48" s="11">
        <v>705</v>
      </c>
      <c r="C48" s="11">
        <v>1645</v>
      </c>
      <c r="D48" s="11">
        <v>1880</v>
      </c>
      <c r="E48" s="11">
        <v>3290</v>
      </c>
      <c r="F48" s="11">
        <v>3290</v>
      </c>
      <c r="G48" s="2">
        <v>3290</v>
      </c>
    </row>
    <row r="49" spans="1:7" x14ac:dyDescent="0.3">
      <c r="A49" s="15">
        <f t="shared" si="0"/>
        <v>48</v>
      </c>
      <c r="B49" s="11">
        <v>720</v>
      </c>
      <c r="C49" s="11">
        <v>1680</v>
      </c>
      <c r="D49" s="11">
        <v>1920</v>
      </c>
      <c r="E49" s="11">
        <v>3360</v>
      </c>
      <c r="F49" s="11">
        <v>3360</v>
      </c>
      <c r="G49" s="2">
        <v>3360</v>
      </c>
    </row>
    <row r="50" spans="1:7" x14ac:dyDescent="0.3">
      <c r="A50" s="15">
        <f t="shared" si="0"/>
        <v>49</v>
      </c>
      <c r="B50" s="11">
        <v>735</v>
      </c>
      <c r="C50" s="11">
        <v>1715</v>
      </c>
      <c r="D50" s="11">
        <v>1960</v>
      </c>
      <c r="E50" s="11">
        <v>3430</v>
      </c>
      <c r="F50" s="11">
        <v>3430</v>
      </c>
      <c r="G50" s="2">
        <v>3430</v>
      </c>
    </row>
    <row r="51" spans="1:7" ht="15" thickBot="1" x14ac:dyDescent="0.35">
      <c r="A51" s="207">
        <f t="shared" si="0"/>
        <v>50</v>
      </c>
      <c r="B51" s="11">
        <v>750</v>
      </c>
      <c r="C51" s="11">
        <v>1750</v>
      </c>
      <c r="D51" s="11">
        <v>2000</v>
      </c>
      <c r="E51" s="11">
        <v>3500</v>
      </c>
      <c r="F51" s="11">
        <v>3500</v>
      </c>
      <c r="G51" s="2">
        <v>3500</v>
      </c>
    </row>
    <row r="52" spans="1:7" x14ac:dyDescent="0.3">
      <c r="A52" s="15"/>
      <c r="B52" s="11"/>
      <c r="C52" s="11"/>
      <c r="D52" s="11"/>
      <c r="E52" s="11"/>
      <c r="F52" s="11"/>
      <c r="G52" s="2"/>
    </row>
    <row r="53" spans="1:7" x14ac:dyDescent="0.3">
      <c r="A53" s="15"/>
      <c r="B53" s="11"/>
      <c r="C53" s="11"/>
      <c r="D53" s="11"/>
      <c r="E53" s="11"/>
      <c r="F53" s="11"/>
      <c r="G53" s="2"/>
    </row>
    <row r="54" spans="1:7" x14ac:dyDescent="0.3">
      <c r="A54" s="15"/>
      <c r="B54" s="11"/>
      <c r="C54" s="11"/>
      <c r="D54" s="11"/>
      <c r="E54" s="11"/>
      <c r="F54" s="11"/>
      <c r="G54" s="2"/>
    </row>
    <row r="55" spans="1:7" x14ac:dyDescent="0.3">
      <c r="A55" s="15"/>
      <c r="B55" s="11"/>
      <c r="C55" s="11"/>
      <c r="D55" s="11"/>
      <c r="E55" s="11"/>
      <c r="F55" s="11"/>
      <c r="G55" s="2"/>
    </row>
    <row r="56" spans="1:7" x14ac:dyDescent="0.3">
      <c r="A56" s="15"/>
      <c r="B56" s="11"/>
      <c r="C56" s="11"/>
      <c r="D56" s="11"/>
      <c r="E56" s="11"/>
      <c r="F56" s="11"/>
      <c r="G56" s="2"/>
    </row>
    <row r="57" spans="1:7" x14ac:dyDescent="0.3">
      <c r="A57" s="15"/>
      <c r="B57" s="11"/>
      <c r="C57" s="11"/>
      <c r="D57" s="11"/>
      <c r="E57" s="11"/>
      <c r="F57" s="11"/>
      <c r="G57" s="2"/>
    </row>
    <row r="58" spans="1:7" x14ac:dyDescent="0.3">
      <c r="A58" s="15"/>
      <c r="B58" s="11"/>
      <c r="C58" s="11"/>
      <c r="D58" s="11"/>
      <c r="E58" s="11"/>
      <c r="F58" s="11"/>
      <c r="G58" s="2"/>
    </row>
    <row r="59" spans="1:7" x14ac:dyDescent="0.3">
      <c r="A59" s="15"/>
      <c r="B59" s="11"/>
      <c r="C59" s="11"/>
      <c r="D59" s="11"/>
      <c r="E59" s="11"/>
      <c r="F59" s="11"/>
      <c r="G59" s="2"/>
    </row>
    <row r="60" spans="1:7" x14ac:dyDescent="0.3">
      <c r="A60" s="15"/>
      <c r="B60" s="11"/>
      <c r="C60" s="11"/>
      <c r="D60" s="11"/>
      <c r="E60" s="11"/>
      <c r="F60" s="11"/>
      <c r="G60" s="2"/>
    </row>
    <row r="61" spans="1:7" x14ac:dyDescent="0.3">
      <c r="A61" s="15"/>
      <c r="B61" s="11"/>
      <c r="C61" s="11"/>
      <c r="D61" s="11"/>
      <c r="E61" s="11"/>
      <c r="F61" s="11"/>
      <c r="G61" s="2"/>
    </row>
    <row r="62" spans="1:7" x14ac:dyDescent="0.3">
      <c r="A62" s="15"/>
      <c r="B62" s="11"/>
      <c r="C62" s="11"/>
      <c r="D62" s="11"/>
      <c r="E62" s="11"/>
      <c r="F62" s="11"/>
      <c r="G62" s="2"/>
    </row>
    <row r="63" spans="1:7" x14ac:dyDescent="0.3">
      <c r="A63" s="15"/>
      <c r="B63" s="11"/>
      <c r="C63" s="11"/>
      <c r="D63" s="11"/>
      <c r="E63" s="11"/>
      <c r="F63" s="11"/>
      <c r="G63" s="2"/>
    </row>
    <row r="64" spans="1:7" x14ac:dyDescent="0.3">
      <c r="A64" s="15"/>
      <c r="B64" s="11"/>
      <c r="C64" s="11"/>
      <c r="D64" s="11"/>
      <c r="E64" s="11"/>
      <c r="F64" s="11"/>
      <c r="G64" s="2"/>
    </row>
    <row r="65" spans="1:7" x14ac:dyDescent="0.3">
      <c r="A65" s="15"/>
      <c r="B65" s="11"/>
      <c r="C65" s="11"/>
      <c r="D65" s="11"/>
      <c r="E65" s="11"/>
      <c r="F65" s="11"/>
      <c r="G65" s="2"/>
    </row>
    <row r="66" spans="1:7" x14ac:dyDescent="0.3">
      <c r="A66" s="15"/>
      <c r="B66" s="11"/>
      <c r="C66" s="11"/>
      <c r="D66" s="11"/>
      <c r="E66" s="11"/>
      <c r="F66" s="11"/>
      <c r="G66" s="2"/>
    </row>
    <row r="67" spans="1:7" x14ac:dyDescent="0.3">
      <c r="A67" s="15"/>
      <c r="B67" s="11"/>
      <c r="C67" s="11"/>
      <c r="D67" s="11"/>
      <c r="E67" s="11"/>
      <c r="F67" s="11"/>
      <c r="G67" s="2"/>
    </row>
    <row r="68" spans="1:7" x14ac:dyDescent="0.3">
      <c r="A68" s="15"/>
      <c r="B68" s="11"/>
      <c r="C68" s="11"/>
      <c r="D68" s="11"/>
      <c r="E68" s="11"/>
      <c r="F68" s="11"/>
      <c r="G68" s="2"/>
    </row>
    <row r="69" spans="1:7" x14ac:dyDescent="0.3">
      <c r="A69" s="15"/>
      <c r="B69" s="11"/>
      <c r="C69" s="11"/>
      <c r="D69" s="11"/>
      <c r="E69" s="11"/>
      <c r="F69" s="11"/>
      <c r="G69" s="2"/>
    </row>
    <row r="70" spans="1:7" x14ac:dyDescent="0.3">
      <c r="A70" s="15"/>
      <c r="B70" s="11"/>
      <c r="C70" s="11"/>
      <c r="D70" s="11"/>
      <c r="E70" s="11"/>
      <c r="F70" s="11"/>
      <c r="G70" s="2"/>
    </row>
    <row r="71" spans="1:7" x14ac:dyDescent="0.3">
      <c r="A71" s="15"/>
      <c r="B71" s="11"/>
      <c r="C71" s="11"/>
      <c r="D71" s="11"/>
      <c r="E71" s="11"/>
      <c r="F71" s="11"/>
      <c r="G71" s="2"/>
    </row>
    <row r="72" spans="1:7" x14ac:dyDescent="0.3">
      <c r="A72" s="15"/>
      <c r="B72" s="11"/>
      <c r="C72" s="11"/>
      <c r="D72" s="11"/>
      <c r="E72" s="11"/>
      <c r="F72" s="11"/>
      <c r="G72" s="2"/>
    </row>
    <row r="73" spans="1:7" x14ac:dyDescent="0.3">
      <c r="A73" s="15"/>
      <c r="B73" s="11"/>
      <c r="C73" s="11"/>
      <c r="D73" s="11"/>
      <c r="E73" s="11"/>
      <c r="F73" s="11"/>
      <c r="G73" s="2"/>
    </row>
    <row r="74" spans="1:7" x14ac:dyDescent="0.3">
      <c r="A74" s="15"/>
      <c r="B74" s="11"/>
      <c r="C74" s="11"/>
      <c r="D74" s="11"/>
      <c r="E74" s="11"/>
      <c r="F74" s="11"/>
      <c r="G74" s="2"/>
    </row>
    <row r="75" spans="1:7" x14ac:dyDescent="0.3">
      <c r="A75" s="15"/>
      <c r="B75" s="11"/>
      <c r="C75" s="11"/>
      <c r="D75" s="11"/>
      <c r="E75" s="11"/>
      <c r="F75" s="11"/>
      <c r="G75" s="2"/>
    </row>
    <row r="76" spans="1:7" x14ac:dyDescent="0.3">
      <c r="A76" s="15"/>
      <c r="B76" s="11"/>
      <c r="C76" s="11"/>
      <c r="D76" s="11"/>
      <c r="E76" s="11"/>
      <c r="F76" s="11"/>
      <c r="G76" s="2"/>
    </row>
    <row r="77" spans="1:7" x14ac:dyDescent="0.3">
      <c r="A77" s="15"/>
      <c r="B77" s="11"/>
      <c r="C77" s="11"/>
      <c r="D77" s="11"/>
      <c r="E77" s="11"/>
      <c r="F77" s="11"/>
      <c r="G77" s="2"/>
    </row>
    <row r="78" spans="1:7" x14ac:dyDescent="0.3">
      <c r="A78" s="15"/>
      <c r="B78" s="11"/>
      <c r="C78" s="11"/>
      <c r="D78" s="11"/>
      <c r="E78" s="11"/>
      <c r="F78" s="11"/>
      <c r="G78" s="2"/>
    </row>
    <row r="79" spans="1:7" x14ac:dyDescent="0.3">
      <c r="A79" s="15"/>
      <c r="B79" s="11"/>
      <c r="C79" s="11"/>
      <c r="D79" s="11"/>
      <c r="E79" s="11"/>
      <c r="F79" s="11"/>
      <c r="G79" s="2"/>
    </row>
    <row r="80" spans="1:7" x14ac:dyDescent="0.3">
      <c r="A80" s="15"/>
      <c r="B80" s="11"/>
      <c r="C80" s="11"/>
      <c r="D80" s="11"/>
      <c r="E80" s="11"/>
      <c r="F80" s="11"/>
      <c r="G80" s="2"/>
    </row>
    <row r="81" spans="1:7" x14ac:dyDescent="0.3">
      <c r="A81" s="15"/>
      <c r="B81" s="11"/>
      <c r="C81" s="11"/>
      <c r="D81" s="11"/>
      <c r="E81" s="11"/>
      <c r="F81" s="11"/>
      <c r="G81" s="2"/>
    </row>
    <row r="82" spans="1:7" x14ac:dyDescent="0.3">
      <c r="A82" s="15"/>
      <c r="B82" s="11"/>
      <c r="C82" s="11"/>
      <c r="D82" s="11"/>
      <c r="E82" s="11"/>
      <c r="F82" s="11"/>
      <c r="G82" s="2"/>
    </row>
    <row r="83" spans="1:7" x14ac:dyDescent="0.3">
      <c r="A83" s="15"/>
      <c r="B83" s="11"/>
      <c r="C83" s="11"/>
      <c r="D83" s="11"/>
      <c r="E83" s="11"/>
      <c r="F83" s="11"/>
      <c r="G83" s="2"/>
    </row>
    <row r="84" spans="1:7" x14ac:dyDescent="0.3">
      <c r="A84" s="15"/>
      <c r="B84" s="11"/>
      <c r="C84" s="11"/>
      <c r="D84" s="11"/>
      <c r="E84" s="11"/>
      <c r="F84" s="11"/>
      <c r="G84" s="2"/>
    </row>
    <row r="85" spans="1:7" x14ac:dyDescent="0.3">
      <c r="A85" s="15"/>
      <c r="B85" s="11"/>
      <c r="C85" s="11"/>
      <c r="D85" s="11"/>
      <c r="E85" s="11"/>
      <c r="F85" s="11"/>
      <c r="G85" s="2"/>
    </row>
    <row r="86" spans="1:7" x14ac:dyDescent="0.3">
      <c r="A86" s="15"/>
      <c r="B86" s="11"/>
      <c r="C86" s="11"/>
      <c r="D86" s="11"/>
      <c r="E86" s="11"/>
      <c r="F86" s="11"/>
      <c r="G86" s="2"/>
    </row>
    <row r="87" spans="1:7" x14ac:dyDescent="0.3">
      <c r="A87" s="15"/>
      <c r="B87" s="11"/>
      <c r="C87" s="11"/>
      <c r="D87" s="11"/>
      <c r="E87" s="11"/>
      <c r="F87" s="11"/>
      <c r="G87" s="2"/>
    </row>
    <row r="88" spans="1:7" x14ac:dyDescent="0.3">
      <c r="A88" s="15"/>
      <c r="B88" s="11"/>
      <c r="C88" s="11"/>
      <c r="D88" s="11"/>
      <c r="E88" s="11"/>
      <c r="F88" s="11"/>
      <c r="G88" s="2"/>
    </row>
    <row r="89" spans="1:7" x14ac:dyDescent="0.3">
      <c r="A89" s="15"/>
      <c r="B89" s="11"/>
      <c r="C89" s="11"/>
      <c r="D89" s="11"/>
      <c r="E89" s="11"/>
      <c r="F89" s="11"/>
      <c r="G89" s="2"/>
    </row>
    <row r="90" spans="1:7" x14ac:dyDescent="0.3">
      <c r="A90" s="15"/>
      <c r="B90" s="11"/>
      <c r="C90" s="11"/>
      <c r="D90" s="11"/>
      <c r="E90" s="11"/>
      <c r="F90" s="11"/>
      <c r="G90" s="2"/>
    </row>
    <row r="91" spans="1:7" x14ac:dyDescent="0.3">
      <c r="A91" s="15"/>
      <c r="B91" s="11"/>
      <c r="C91" s="11"/>
      <c r="D91" s="11"/>
      <c r="E91" s="11"/>
      <c r="F91" s="11"/>
      <c r="G91" s="2"/>
    </row>
    <row r="92" spans="1:7" x14ac:dyDescent="0.3">
      <c r="A92" s="15"/>
      <c r="B92" s="11"/>
      <c r="C92" s="11"/>
      <c r="D92" s="11"/>
      <c r="E92" s="11"/>
      <c r="F92" s="11"/>
      <c r="G92" s="2"/>
    </row>
    <row r="93" spans="1:7" x14ac:dyDescent="0.3">
      <c r="A93" s="15"/>
      <c r="B93" s="11"/>
      <c r="C93" s="11"/>
      <c r="D93" s="11"/>
      <c r="E93" s="11"/>
      <c r="F93" s="11"/>
      <c r="G93" s="2"/>
    </row>
    <row r="94" spans="1:7" x14ac:dyDescent="0.3">
      <c r="A94" s="15"/>
      <c r="B94" s="11"/>
      <c r="C94" s="11"/>
      <c r="D94" s="11"/>
      <c r="E94" s="11"/>
      <c r="F94" s="11"/>
      <c r="G94" s="2"/>
    </row>
    <row r="95" spans="1:7" x14ac:dyDescent="0.3">
      <c r="A95" s="15"/>
      <c r="B95" s="11"/>
      <c r="C95" s="11"/>
      <c r="D95" s="11"/>
      <c r="E95" s="11"/>
      <c r="F95" s="11"/>
      <c r="G95" s="2"/>
    </row>
    <row r="96" spans="1:7" x14ac:dyDescent="0.3">
      <c r="A96" s="15"/>
      <c r="B96" s="11"/>
      <c r="C96" s="11"/>
      <c r="D96" s="11"/>
      <c r="E96" s="11"/>
      <c r="F96" s="11"/>
      <c r="G96" s="2"/>
    </row>
    <row r="97" spans="1:7" x14ac:dyDescent="0.3">
      <c r="A97" s="15"/>
      <c r="B97" s="11"/>
      <c r="C97" s="11"/>
      <c r="D97" s="11"/>
      <c r="E97" s="11"/>
      <c r="F97" s="11"/>
      <c r="G97" s="2"/>
    </row>
    <row r="98" spans="1:7" x14ac:dyDescent="0.3">
      <c r="A98" s="15"/>
      <c r="B98" s="11"/>
      <c r="C98" s="11"/>
      <c r="D98" s="11"/>
      <c r="E98" s="11"/>
      <c r="F98" s="11"/>
      <c r="G98" s="2"/>
    </row>
    <row r="99" spans="1:7" x14ac:dyDescent="0.3">
      <c r="A99" s="15"/>
      <c r="B99" s="11"/>
      <c r="C99" s="11"/>
      <c r="D99" s="11"/>
      <c r="E99" s="11"/>
      <c r="F99" s="11"/>
      <c r="G99" s="2"/>
    </row>
    <row r="100" spans="1:7" x14ac:dyDescent="0.3">
      <c r="A100" s="15"/>
      <c r="B100" s="11"/>
      <c r="C100" s="11"/>
      <c r="D100" s="11"/>
      <c r="E100" s="11"/>
      <c r="F100" s="11"/>
      <c r="G100" s="2"/>
    </row>
    <row r="101" spans="1:7" x14ac:dyDescent="0.3">
      <c r="A101" s="15"/>
      <c r="B101" s="11"/>
      <c r="C101" s="11"/>
      <c r="D101" s="11"/>
      <c r="E101" s="11"/>
      <c r="F101" s="11"/>
      <c r="G101" s="2"/>
    </row>
    <row r="102" spans="1:7" x14ac:dyDescent="0.3">
      <c r="A102" s="15"/>
      <c r="B102" s="11"/>
      <c r="C102" s="11"/>
      <c r="D102" s="11"/>
      <c r="E102" s="11"/>
      <c r="F102" s="11"/>
      <c r="G102" s="2"/>
    </row>
    <row r="103" spans="1:7" x14ac:dyDescent="0.3">
      <c r="A103" s="15"/>
      <c r="B103" s="11"/>
      <c r="C103" s="11"/>
      <c r="D103" s="11"/>
      <c r="E103" s="11"/>
      <c r="F103" s="11"/>
      <c r="G10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2DCE-1AA2-4ED1-98B5-26990C911DE3}">
  <dimension ref="A1:G103"/>
  <sheetViews>
    <sheetView workbookViewId="0">
      <selection activeCell="A2" sqref="A2:A51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3.21875" bestFit="1" customWidth="1"/>
    <col min="4" max="4" width="12.5546875" bestFit="1" customWidth="1"/>
    <col min="5" max="5" width="13.21875" bestFit="1" customWidth="1"/>
  </cols>
  <sheetData>
    <row r="1" spans="1:7" ht="43.2" x14ac:dyDescent="0.3">
      <c r="A1" s="105" t="s">
        <v>5</v>
      </c>
      <c r="B1" s="106" t="s">
        <v>1</v>
      </c>
      <c r="C1" s="106" t="s">
        <v>2</v>
      </c>
      <c r="D1" s="106" t="s">
        <v>3</v>
      </c>
      <c r="E1" s="106" t="s">
        <v>4</v>
      </c>
      <c r="F1" s="107" t="s">
        <v>8</v>
      </c>
      <c r="G1" s="107" t="s">
        <v>7</v>
      </c>
    </row>
    <row r="2" spans="1:7" x14ac:dyDescent="0.3">
      <c r="A2" s="148">
        <v>1</v>
      </c>
      <c r="B2" s="11" cm="1">
        <f t="array" ref="B2:B51">VLOOKUP(A2:A51, WITHINCITY!B4:F53,5,0)</f>
        <v>15</v>
      </c>
      <c r="C2" s="11" cm="1">
        <f t="array" ref="C2:C51">VLOOKUP(A2:A51, WITHINSTATE!B4:F53,5,0)</f>
        <v>25</v>
      </c>
      <c r="D2" s="11" cm="1">
        <f t="array" ref="D2:D51">VLOOKUP(A2:A51, WITHINZONE!B4:F53,5,0)</f>
        <v>50</v>
      </c>
      <c r="E2" s="11" cm="1">
        <f t="array" ref="E2:E51">VLOOKUP(A2:A51, RESTOFINDIA!B4:F53,5,0)</f>
        <v>50</v>
      </c>
      <c r="F2" s="11" cm="1">
        <f t="array" ref="F2:F51">VLOOKUP(A2:A51, 'METRO TO METRO'!B4:F53,5,0)</f>
        <v>55</v>
      </c>
      <c r="G2" s="2" cm="1">
        <f t="array" ref="G2:G51">VLOOKUP(A2:A51, SPECIALDESTINATION!B4:F53,5,0)</f>
        <v>60</v>
      </c>
    </row>
    <row r="3" spans="1:7" x14ac:dyDescent="0.3">
      <c r="A3" s="15">
        <f>A2 + 1</f>
        <v>2</v>
      </c>
      <c r="B3" s="11">
        <v>30</v>
      </c>
      <c r="C3" s="11">
        <v>50</v>
      </c>
      <c r="D3" s="11">
        <v>100</v>
      </c>
      <c r="E3" s="11">
        <v>100</v>
      </c>
      <c r="F3" s="11">
        <v>110</v>
      </c>
      <c r="G3" s="2">
        <v>120</v>
      </c>
    </row>
    <row r="4" spans="1:7" x14ac:dyDescent="0.3">
      <c r="A4" s="15">
        <f t="shared" ref="A4:A51" si="0">A3 + 1</f>
        <v>3</v>
      </c>
      <c r="B4" s="11">
        <v>45</v>
      </c>
      <c r="C4" s="11">
        <v>75</v>
      </c>
      <c r="D4" s="11">
        <v>150</v>
      </c>
      <c r="E4" s="11">
        <v>150</v>
      </c>
      <c r="F4" s="11">
        <v>165</v>
      </c>
      <c r="G4" s="2">
        <v>180</v>
      </c>
    </row>
    <row r="5" spans="1:7" x14ac:dyDescent="0.3">
      <c r="A5" s="15">
        <f t="shared" si="0"/>
        <v>4</v>
      </c>
      <c r="B5" s="11">
        <v>60</v>
      </c>
      <c r="C5" s="11">
        <v>100</v>
      </c>
      <c r="D5" s="11">
        <v>200</v>
      </c>
      <c r="E5" s="11">
        <v>200</v>
      </c>
      <c r="F5" s="11">
        <v>220</v>
      </c>
      <c r="G5" s="2">
        <v>240</v>
      </c>
    </row>
    <row r="6" spans="1:7" x14ac:dyDescent="0.3">
      <c r="A6" s="15">
        <f t="shared" si="0"/>
        <v>5</v>
      </c>
      <c r="B6" s="11">
        <v>75</v>
      </c>
      <c r="C6" s="11">
        <v>125</v>
      </c>
      <c r="D6" s="11">
        <v>250</v>
      </c>
      <c r="E6" s="11">
        <v>250</v>
      </c>
      <c r="F6" s="11">
        <v>275</v>
      </c>
      <c r="G6" s="2">
        <v>300</v>
      </c>
    </row>
    <row r="7" spans="1:7" x14ac:dyDescent="0.3">
      <c r="A7" s="15">
        <f t="shared" si="0"/>
        <v>6</v>
      </c>
      <c r="B7" s="11">
        <v>90</v>
      </c>
      <c r="C7" s="11">
        <v>150</v>
      </c>
      <c r="D7" s="11">
        <v>300</v>
      </c>
      <c r="E7" s="11">
        <v>300</v>
      </c>
      <c r="F7" s="11">
        <v>330</v>
      </c>
      <c r="G7" s="2">
        <v>360</v>
      </c>
    </row>
    <row r="8" spans="1:7" x14ac:dyDescent="0.3">
      <c r="A8" s="15">
        <f t="shared" si="0"/>
        <v>7</v>
      </c>
      <c r="B8" s="11">
        <v>105</v>
      </c>
      <c r="C8" s="11">
        <v>175</v>
      </c>
      <c r="D8" s="11">
        <v>350</v>
      </c>
      <c r="E8" s="11">
        <v>350</v>
      </c>
      <c r="F8" s="11">
        <v>385</v>
      </c>
      <c r="G8" s="2">
        <v>420</v>
      </c>
    </row>
    <row r="9" spans="1:7" x14ac:dyDescent="0.3">
      <c r="A9" s="15">
        <f t="shared" si="0"/>
        <v>8</v>
      </c>
      <c r="B9" s="11">
        <v>120</v>
      </c>
      <c r="C9" s="11">
        <v>200</v>
      </c>
      <c r="D9" s="11">
        <v>400</v>
      </c>
      <c r="E9" s="11">
        <v>400</v>
      </c>
      <c r="F9" s="11">
        <v>440</v>
      </c>
      <c r="G9" s="2">
        <v>480</v>
      </c>
    </row>
    <row r="10" spans="1:7" x14ac:dyDescent="0.3">
      <c r="A10" s="15">
        <f t="shared" si="0"/>
        <v>9</v>
      </c>
      <c r="B10" s="11">
        <v>135</v>
      </c>
      <c r="C10" s="11">
        <v>225</v>
      </c>
      <c r="D10" s="11">
        <v>450</v>
      </c>
      <c r="E10" s="11">
        <v>450</v>
      </c>
      <c r="F10" s="11">
        <v>495</v>
      </c>
      <c r="G10" s="2">
        <v>540</v>
      </c>
    </row>
    <row r="11" spans="1:7" x14ac:dyDescent="0.3">
      <c r="A11" s="15">
        <f t="shared" si="0"/>
        <v>10</v>
      </c>
      <c r="B11" s="11">
        <v>150</v>
      </c>
      <c r="C11" s="11">
        <v>250</v>
      </c>
      <c r="D11" s="11">
        <v>500</v>
      </c>
      <c r="E11" s="11">
        <v>500</v>
      </c>
      <c r="F11" s="11">
        <v>550</v>
      </c>
      <c r="G11" s="2">
        <v>600</v>
      </c>
    </row>
    <row r="12" spans="1:7" x14ac:dyDescent="0.3">
      <c r="A12" s="15">
        <f t="shared" si="0"/>
        <v>11</v>
      </c>
      <c r="B12" s="11">
        <v>165</v>
      </c>
      <c r="C12" s="11">
        <v>275</v>
      </c>
      <c r="D12" s="11">
        <v>550</v>
      </c>
      <c r="E12" s="11">
        <v>550</v>
      </c>
      <c r="F12" s="11">
        <v>605</v>
      </c>
      <c r="G12" s="2">
        <v>660</v>
      </c>
    </row>
    <row r="13" spans="1:7" x14ac:dyDescent="0.3">
      <c r="A13" s="15">
        <f t="shared" si="0"/>
        <v>12</v>
      </c>
      <c r="B13" s="11">
        <v>180</v>
      </c>
      <c r="C13" s="11">
        <v>300</v>
      </c>
      <c r="D13" s="11">
        <v>600</v>
      </c>
      <c r="E13" s="11">
        <v>600</v>
      </c>
      <c r="F13" s="11">
        <v>660</v>
      </c>
      <c r="G13" s="2">
        <v>720</v>
      </c>
    </row>
    <row r="14" spans="1:7" x14ac:dyDescent="0.3">
      <c r="A14" s="15">
        <f t="shared" si="0"/>
        <v>13</v>
      </c>
      <c r="B14" s="11">
        <v>195</v>
      </c>
      <c r="C14" s="11">
        <v>325</v>
      </c>
      <c r="D14" s="11">
        <v>650</v>
      </c>
      <c r="E14" s="11">
        <v>650</v>
      </c>
      <c r="F14" s="11">
        <v>715</v>
      </c>
      <c r="G14" s="2">
        <v>780</v>
      </c>
    </row>
    <row r="15" spans="1:7" x14ac:dyDescent="0.3">
      <c r="A15" s="15">
        <f t="shared" si="0"/>
        <v>14</v>
      </c>
      <c r="B15" s="11">
        <v>210</v>
      </c>
      <c r="C15" s="11">
        <v>350</v>
      </c>
      <c r="D15" s="11">
        <v>700</v>
      </c>
      <c r="E15" s="11">
        <v>700</v>
      </c>
      <c r="F15" s="11">
        <v>770</v>
      </c>
      <c r="G15" s="2">
        <v>840</v>
      </c>
    </row>
    <row r="16" spans="1:7" x14ac:dyDescent="0.3">
      <c r="A16" s="15">
        <f t="shared" si="0"/>
        <v>15</v>
      </c>
      <c r="B16" s="11">
        <v>225</v>
      </c>
      <c r="C16" s="11">
        <v>375</v>
      </c>
      <c r="D16" s="11">
        <v>750</v>
      </c>
      <c r="E16" s="11">
        <v>750</v>
      </c>
      <c r="F16" s="11">
        <v>825</v>
      </c>
      <c r="G16" s="2">
        <v>900</v>
      </c>
    </row>
    <row r="17" spans="1:7" x14ac:dyDescent="0.3">
      <c r="A17" s="15">
        <f t="shared" si="0"/>
        <v>16</v>
      </c>
      <c r="B17" s="11">
        <v>240</v>
      </c>
      <c r="C17" s="11">
        <v>400</v>
      </c>
      <c r="D17" s="11">
        <v>800</v>
      </c>
      <c r="E17" s="11">
        <v>800</v>
      </c>
      <c r="F17" s="11">
        <v>880</v>
      </c>
      <c r="G17" s="2">
        <v>960</v>
      </c>
    </row>
    <row r="18" spans="1:7" x14ac:dyDescent="0.3">
      <c r="A18" s="15">
        <f t="shared" si="0"/>
        <v>17</v>
      </c>
      <c r="B18" s="11">
        <v>255</v>
      </c>
      <c r="C18" s="11">
        <v>425</v>
      </c>
      <c r="D18" s="11">
        <v>850</v>
      </c>
      <c r="E18" s="11">
        <v>850</v>
      </c>
      <c r="F18" s="11">
        <v>935</v>
      </c>
      <c r="G18" s="2">
        <v>1020</v>
      </c>
    </row>
    <row r="19" spans="1:7" x14ac:dyDescent="0.3">
      <c r="A19" s="15">
        <f t="shared" si="0"/>
        <v>18</v>
      </c>
      <c r="B19" s="11">
        <v>270</v>
      </c>
      <c r="C19" s="11">
        <v>450</v>
      </c>
      <c r="D19" s="11">
        <v>900</v>
      </c>
      <c r="E19" s="11">
        <v>900</v>
      </c>
      <c r="F19" s="11">
        <v>990</v>
      </c>
      <c r="G19" s="2">
        <v>1080</v>
      </c>
    </row>
    <row r="20" spans="1:7" x14ac:dyDescent="0.3">
      <c r="A20" s="15">
        <f t="shared" si="0"/>
        <v>19</v>
      </c>
      <c r="B20" s="11">
        <v>285</v>
      </c>
      <c r="C20" s="11">
        <v>475</v>
      </c>
      <c r="D20" s="11">
        <v>950</v>
      </c>
      <c r="E20" s="11">
        <v>950</v>
      </c>
      <c r="F20" s="11">
        <v>1045</v>
      </c>
      <c r="G20" s="2">
        <v>1140</v>
      </c>
    </row>
    <row r="21" spans="1:7" x14ac:dyDescent="0.3">
      <c r="A21" s="15">
        <f t="shared" si="0"/>
        <v>20</v>
      </c>
      <c r="B21" s="11">
        <v>300</v>
      </c>
      <c r="C21" s="11">
        <v>500</v>
      </c>
      <c r="D21" s="11">
        <v>1000</v>
      </c>
      <c r="E21" s="11">
        <v>1000</v>
      </c>
      <c r="F21" s="11">
        <v>1100</v>
      </c>
      <c r="G21" s="2">
        <v>1200</v>
      </c>
    </row>
    <row r="22" spans="1:7" x14ac:dyDescent="0.3">
      <c r="A22" s="15">
        <f t="shared" si="0"/>
        <v>21</v>
      </c>
      <c r="B22" s="11">
        <v>315</v>
      </c>
      <c r="C22" s="11">
        <v>525</v>
      </c>
      <c r="D22" s="11">
        <v>1050</v>
      </c>
      <c r="E22" s="11">
        <v>1050</v>
      </c>
      <c r="F22" s="11">
        <v>1155</v>
      </c>
      <c r="G22" s="2">
        <v>1260</v>
      </c>
    </row>
    <row r="23" spans="1:7" x14ac:dyDescent="0.3">
      <c r="A23" s="15">
        <f t="shared" si="0"/>
        <v>22</v>
      </c>
      <c r="B23" s="11">
        <v>330</v>
      </c>
      <c r="C23" s="11">
        <v>550</v>
      </c>
      <c r="D23" s="11">
        <v>1100</v>
      </c>
      <c r="E23" s="11">
        <v>1100</v>
      </c>
      <c r="F23" s="11">
        <v>1210</v>
      </c>
      <c r="G23" s="2">
        <v>1320</v>
      </c>
    </row>
    <row r="24" spans="1:7" x14ac:dyDescent="0.3">
      <c r="A24" s="15">
        <f t="shared" si="0"/>
        <v>23</v>
      </c>
      <c r="B24" s="11">
        <v>345</v>
      </c>
      <c r="C24" s="11">
        <v>575</v>
      </c>
      <c r="D24" s="11">
        <v>1150</v>
      </c>
      <c r="E24" s="11">
        <v>1150</v>
      </c>
      <c r="F24" s="11">
        <v>1265</v>
      </c>
      <c r="G24" s="2">
        <v>1380</v>
      </c>
    </row>
    <row r="25" spans="1:7" x14ac:dyDescent="0.3">
      <c r="A25" s="15">
        <f t="shared" si="0"/>
        <v>24</v>
      </c>
      <c r="B25" s="11">
        <v>360</v>
      </c>
      <c r="C25" s="11">
        <v>600</v>
      </c>
      <c r="D25" s="11">
        <v>1200</v>
      </c>
      <c r="E25" s="11">
        <v>1200</v>
      </c>
      <c r="F25" s="11">
        <v>1320</v>
      </c>
      <c r="G25" s="2">
        <v>1440</v>
      </c>
    </row>
    <row r="26" spans="1:7" x14ac:dyDescent="0.3">
      <c r="A26" s="15">
        <f t="shared" si="0"/>
        <v>25</v>
      </c>
      <c r="B26" s="11">
        <v>375</v>
      </c>
      <c r="C26" s="11">
        <v>625</v>
      </c>
      <c r="D26" s="11">
        <v>1250</v>
      </c>
      <c r="E26" s="11">
        <v>1250</v>
      </c>
      <c r="F26" s="11">
        <v>1375</v>
      </c>
      <c r="G26" s="2">
        <v>1500</v>
      </c>
    </row>
    <row r="27" spans="1:7" x14ac:dyDescent="0.3">
      <c r="A27" s="15">
        <f t="shared" si="0"/>
        <v>26</v>
      </c>
      <c r="B27" s="11">
        <v>390</v>
      </c>
      <c r="C27" s="11">
        <v>650</v>
      </c>
      <c r="D27" s="11">
        <v>1300</v>
      </c>
      <c r="E27" s="11">
        <v>1300</v>
      </c>
      <c r="F27" s="11">
        <v>1430</v>
      </c>
      <c r="G27" s="2">
        <v>1560</v>
      </c>
    </row>
    <row r="28" spans="1:7" x14ac:dyDescent="0.3">
      <c r="A28" s="15">
        <f t="shared" si="0"/>
        <v>27</v>
      </c>
      <c r="B28" s="11">
        <v>405</v>
      </c>
      <c r="C28" s="11">
        <v>675</v>
      </c>
      <c r="D28" s="11">
        <v>1350</v>
      </c>
      <c r="E28" s="11">
        <v>1350</v>
      </c>
      <c r="F28" s="11">
        <v>1485</v>
      </c>
      <c r="G28" s="2">
        <v>1620</v>
      </c>
    </row>
    <row r="29" spans="1:7" x14ac:dyDescent="0.3">
      <c r="A29" s="15">
        <f t="shared" si="0"/>
        <v>28</v>
      </c>
      <c r="B29" s="11">
        <v>420</v>
      </c>
      <c r="C29" s="11">
        <v>700</v>
      </c>
      <c r="D29" s="11">
        <v>1400</v>
      </c>
      <c r="E29" s="11">
        <v>1400</v>
      </c>
      <c r="F29" s="11">
        <v>1540</v>
      </c>
      <c r="G29" s="2">
        <v>1680</v>
      </c>
    </row>
    <row r="30" spans="1:7" x14ac:dyDescent="0.3">
      <c r="A30" s="15">
        <f t="shared" si="0"/>
        <v>29</v>
      </c>
      <c r="B30" s="11">
        <v>435</v>
      </c>
      <c r="C30" s="11">
        <v>725</v>
      </c>
      <c r="D30" s="11">
        <v>1450</v>
      </c>
      <c r="E30" s="11">
        <v>1450</v>
      </c>
      <c r="F30" s="11">
        <v>1595</v>
      </c>
      <c r="G30" s="2">
        <v>1740</v>
      </c>
    </row>
    <row r="31" spans="1:7" x14ac:dyDescent="0.3">
      <c r="A31" s="15">
        <f t="shared" si="0"/>
        <v>30</v>
      </c>
      <c r="B31" s="11">
        <v>450</v>
      </c>
      <c r="C31" s="11">
        <v>750</v>
      </c>
      <c r="D31" s="11">
        <v>1500</v>
      </c>
      <c r="E31" s="11">
        <v>1500</v>
      </c>
      <c r="F31" s="11">
        <v>1650</v>
      </c>
      <c r="G31" s="2">
        <v>1800</v>
      </c>
    </row>
    <row r="32" spans="1:7" x14ac:dyDescent="0.3">
      <c r="A32" s="15">
        <f t="shared" si="0"/>
        <v>31</v>
      </c>
      <c r="B32" s="11">
        <v>465</v>
      </c>
      <c r="C32" s="11">
        <v>775</v>
      </c>
      <c r="D32" s="11">
        <v>1550</v>
      </c>
      <c r="E32" s="11">
        <v>1550</v>
      </c>
      <c r="F32" s="11">
        <v>1705</v>
      </c>
      <c r="G32" s="2">
        <v>1860</v>
      </c>
    </row>
    <row r="33" spans="1:7" x14ac:dyDescent="0.3">
      <c r="A33" s="15">
        <f t="shared" si="0"/>
        <v>32</v>
      </c>
      <c r="B33" s="11">
        <v>480</v>
      </c>
      <c r="C33" s="11">
        <v>800</v>
      </c>
      <c r="D33" s="11">
        <v>1600</v>
      </c>
      <c r="E33" s="11">
        <v>1600</v>
      </c>
      <c r="F33" s="11">
        <v>1760</v>
      </c>
      <c r="G33" s="2">
        <v>1920</v>
      </c>
    </row>
    <row r="34" spans="1:7" x14ac:dyDescent="0.3">
      <c r="A34" s="15">
        <f t="shared" si="0"/>
        <v>33</v>
      </c>
      <c r="B34" s="11">
        <v>495</v>
      </c>
      <c r="C34" s="11">
        <v>825</v>
      </c>
      <c r="D34" s="11">
        <v>1650</v>
      </c>
      <c r="E34" s="11">
        <v>1650</v>
      </c>
      <c r="F34" s="11">
        <v>1815</v>
      </c>
      <c r="G34" s="2">
        <v>1980</v>
      </c>
    </row>
    <row r="35" spans="1:7" x14ac:dyDescent="0.3">
      <c r="A35" s="15">
        <f t="shared" si="0"/>
        <v>34</v>
      </c>
      <c r="B35" s="11">
        <v>510</v>
      </c>
      <c r="C35" s="11">
        <v>850</v>
      </c>
      <c r="D35" s="11">
        <v>1700</v>
      </c>
      <c r="E35" s="11">
        <v>1700</v>
      </c>
      <c r="F35" s="11">
        <v>1870</v>
      </c>
      <c r="G35" s="2">
        <v>2040</v>
      </c>
    </row>
    <row r="36" spans="1:7" x14ac:dyDescent="0.3">
      <c r="A36" s="15">
        <f t="shared" si="0"/>
        <v>35</v>
      </c>
      <c r="B36" s="11">
        <v>525</v>
      </c>
      <c r="C36" s="11">
        <v>875</v>
      </c>
      <c r="D36" s="11">
        <v>1750</v>
      </c>
      <c r="E36" s="11">
        <v>1750</v>
      </c>
      <c r="F36" s="11">
        <v>1925</v>
      </c>
      <c r="G36" s="2">
        <v>2100</v>
      </c>
    </row>
    <row r="37" spans="1:7" x14ac:dyDescent="0.3">
      <c r="A37" s="15">
        <f t="shared" si="0"/>
        <v>36</v>
      </c>
      <c r="B37" s="11">
        <v>540</v>
      </c>
      <c r="C37" s="11">
        <v>900</v>
      </c>
      <c r="D37" s="11">
        <v>1800</v>
      </c>
      <c r="E37" s="11">
        <v>1800</v>
      </c>
      <c r="F37" s="11">
        <v>1980</v>
      </c>
      <c r="G37" s="2">
        <v>2160</v>
      </c>
    </row>
    <row r="38" spans="1:7" x14ac:dyDescent="0.3">
      <c r="A38" s="15">
        <f t="shared" si="0"/>
        <v>37</v>
      </c>
      <c r="B38" s="11">
        <v>555</v>
      </c>
      <c r="C38" s="11">
        <v>925</v>
      </c>
      <c r="D38" s="11">
        <v>1850</v>
      </c>
      <c r="E38" s="11">
        <v>1850</v>
      </c>
      <c r="F38" s="11">
        <v>2035</v>
      </c>
      <c r="G38" s="2">
        <v>2220</v>
      </c>
    </row>
    <row r="39" spans="1:7" x14ac:dyDescent="0.3">
      <c r="A39" s="15">
        <f t="shared" si="0"/>
        <v>38</v>
      </c>
      <c r="B39" s="11">
        <v>570</v>
      </c>
      <c r="C39" s="11">
        <v>950</v>
      </c>
      <c r="D39" s="11">
        <v>1900</v>
      </c>
      <c r="E39" s="11">
        <v>1900</v>
      </c>
      <c r="F39" s="11">
        <v>2090</v>
      </c>
      <c r="G39" s="2">
        <v>2280</v>
      </c>
    </row>
    <row r="40" spans="1:7" x14ac:dyDescent="0.3">
      <c r="A40" s="15">
        <f t="shared" si="0"/>
        <v>39</v>
      </c>
      <c r="B40" s="11">
        <v>585</v>
      </c>
      <c r="C40" s="11">
        <v>975</v>
      </c>
      <c r="D40" s="11">
        <v>1950</v>
      </c>
      <c r="E40" s="11">
        <v>1950</v>
      </c>
      <c r="F40" s="11">
        <v>2145</v>
      </c>
      <c r="G40" s="2">
        <v>2340</v>
      </c>
    </row>
    <row r="41" spans="1:7" x14ac:dyDescent="0.3">
      <c r="A41" s="15">
        <f t="shared" si="0"/>
        <v>40</v>
      </c>
      <c r="B41" s="11">
        <v>600</v>
      </c>
      <c r="C41" s="11">
        <v>1000</v>
      </c>
      <c r="D41" s="11">
        <v>2000</v>
      </c>
      <c r="E41" s="11">
        <v>2000</v>
      </c>
      <c r="F41" s="11">
        <v>2200</v>
      </c>
      <c r="G41" s="2">
        <v>2400</v>
      </c>
    </row>
    <row r="42" spans="1:7" x14ac:dyDescent="0.3">
      <c r="A42" s="15">
        <f t="shared" si="0"/>
        <v>41</v>
      </c>
      <c r="B42" s="11">
        <v>615</v>
      </c>
      <c r="C42" s="11">
        <v>1025</v>
      </c>
      <c r="D42" s="11">
        <v>2050</v>
      </c>
      <c r="E42" s="11">
        <v>2050</v>
      </c>
      <c r="F42" s="11">
        <v>2255</v>
      </c>
      <c r="G42" s="2">
        <v>2460</v>
      </c>
    </row>
    <row r="43" spans="1:7" x14ac:dyDescent="0.3">
      <c r="A43" s="15">
        <f t="shared" si="0"/>
        <v>42</v>
      </c>
      <c r="B43" s="11">
        <v>630</v>
      </c>
      <c r="C43" s="11">
        <v>1050</v>
      </c>
      <c r="D43" s="11">
        <v>2100</v>
      </c>
      <c r="E43" s="11">
        <v>2100</v>
      </c>
      <c r="F43" s="11">
        <v>2310</v>
      </c>
      <c r="G43" s="2">
        <v>2520</v>
      </c>
    </row>
    <row r="44" spans="1:7" x14ac:dyDescent="0.3">
      <c r="A44" s="15">
        <f t="shared" si="0"/>
        <v>43</v>
      </c>
      <c r="B44" s="11">
        <v>645</v>
      </c>
      <c r="C44" s="11">
        <v>1075</v>
      </c>
      <c r="D44" s="11">
        <v>2150</v>
      </c>
      <c r="E44" s="11">
        <v>2150</v>
      </c>
      <c r="F44" s="11">
        <v>2365</v>
      </c>
      <c r="G44" s="2">
        <v>2580</v>
      </c>
    </row>
    <row r="45" spans="1:7" x14ac:dyDescent="0.3">
      <c r="A45" s="15">
        <f t="shared" si="0"/>
        <v>44</v>
      </c>
      <c r="B45" s="11">
        <v>660</v>
      </c>
      <c r="C45" s="11">
        <v>1100</v>
      </c>
      <c r="D45" s="11">
        <v>2200</v>
      </c>
      <c r="E45" s="11">
        <v>2200</v>
      </c>
      <c r="F45" s="11">
        <v>2420</v>
      </c>
      <c r="G45" s="2">
        <v>2640</v>
      </c>
    </row>
    <row r="46" spans="1:7" x14ac:dyDescent="0.3">
      <c r="A46" s="15">
        <f t="shared" si="0"/>
        <v>45</v>
      </c>
      <c r="B46" s="11">
        <v>675</v>
      </c>
      <c r="C46" s="11">
        <v>1125</v>
      </c>
      <c r="D46" s="11">
        <v>2250</v>
      </c>
      <c r="E46" s="11">
        <v>2250</v>
      </c>
      <c r="F46" s="11">
        <v>2475</v>
      </c>
      <c r="G46" s="2">
        <v>2700</v>
      </c>
    </row>
    <row r="47" spans="1:7" x14ac:dyDescent="0.3">
      <c r="A47" s="15">
        <f t="shared" si="0"/>
        <v>46</v>
      </c>
      <c r="B47" s="11">
        <v>690</v>
      </c>
      <c r="C47" s="11">
        <v>1150</v>
      </c>
      <c r="D47" s="11">
        <v>2300</v>
      </c>
      <c r="E47" s="11">
        <v>2300</v>
      </c>
      <c r="F47" s="11">
        <v>2530</v>
      </c>
      <c r="G47" s="2">
        <v>2760</v>
      </c>
    </row>
    <row r="48" spans="1:7" x14ac:dyDescent="0.3">
      <c r="A48" s="15">
        <f t="shared" si="0"/>
        <v>47</v>
      </c>
      <c r="B48" s="11">
        <v>705</v>
      </c>
      <c r="C48" s="11">
        <v>1175</v>
      </c>
      <c r="D48" s="11">
        <v>2350</v>
      </c>
      <c r="E48" s="11">
        <v>2350</v>
      </c>
      <c r="F48" s="11">
        <v>2585</v>
      </c>
      <c r="G48" s="2">
        <v>2820</v>
      </c>
    </row>
    <row r="49" spans="1:7" x14ac:dyDescent="0.3">
      <c r="A49" s="15">
        <f t="shared" si="0"/>
        <v>48</v>
      </c>
      <c r="B49" s="11">
        <v>720</v>
      </c>
      <c r="C49" s="11">
        <v>1200</v>
      </c>
      <c r="D49" s="11">
        <v>2400</v>
      </c>
      <c r="E49" s="11">
        <v>2400</v>
      </c>
      <c r="F49" s="11">
        <v>2640</v>
      </c>
      <c r="G49" s="2">
        <v>2880</v>
      </c>
    </row>
    <row r="50" spans="1:7" x14ac:dyDescent="0.3">
      <c r="A50" s="15">
        <f t="shared" si="0"/>
        <v>49</v>
      </c>
      <c r="B50" s="11">
        <v>735</v>
      </c>
      <c r="C50" s="11">
        <v>1225</v>
      </c>
      <c r="D50" s="11">
        <v>2450</v>
      </c>
      <c r="E50" s="11">
        <v>2450</v>
      </c>
      <c r="F50" s="11">
        <v>2695</v>
      </c>
      <c r="G50" s="2">
        <v>2940</v>
      </c>
    </row>
    <row r="51" spans="1:7" ht="15" thickBot="1" x14ac:dyDescent="0.35">
      <c r="A51" s="207">
        <f t="shared" si="0"/>
        <v>50</v>
      </c>
      <c r="B51" s="11">
        <v>750</v>
      </c>
      <c r="C51" s="11">
        <v>1250</v>
      </c>
      <c r="D51" s="11">
        <v>2500</v>
      </c>
      <c r="E51" s="11">
        <v>2500</v>
      </c>
      <c r="F51" s="11">
        <v>2750</v>
      </c>
      <c r="G51" s="2">
        <v>3000</v>
      </c>
    </row>
    <row r="52" spans="1:7" x14ac:dyDescent="0.3">
      <c r="A52" s="15"/>
      <c r="B52" s="11"/>
      <c r="C52" s="11"/>
      <c r="D52" s="11"/>
      <c r="E52" s="11"/>
      <c r="F52" s="11"/>
      <c r="G52" s="2"/>
    </row>
    <row r="53" spans="1:7" x14ac:dyDescent="0.3">
      <c r="A53" s="15"/>
      <c r="B53" s="11"/>
      <c r="C53" s="11"/>
      <c r="D53" s="11"/>
      <c r="E53" s="11"/>
      <c r="F53" s="11"/>
      <c r="G53" s="2"/>
    </row>
    <row r="54" spans="1:7" x14ac:dyDescent="0.3">
      <c r="A54" s="15"/>
      <c r="B54" s="11"/>
      <c r="C54" s="11"/>
      <c r="D54" s="11"/>
      <c r="E54" s="11"/>
      <c r="F54" s="11"/>
      <c r="G54" s="2"/>
    </row>
    <row r="55" spans="1:7" x14ac:dyDescent="0.3">
      <c r="A55" s="15"/>
      <c r="B55" s="11"/>
      <c r="C55" s="11"/>
      <c r="D55" s="11"/>
      <c r="E55" s="11"/>
      <c r="F55" s="11"/>
      <c r="G55" s="2"/>
    </row>
    <row r="56" spans="1:7" x14ac:dyDescent="0.3">
      <c r="A56" s="15"/>
      <c r="B56" s="11"/>
      <c r="C56" s="11"/>
      <c r="D56" s="11"/>
      <c r="E56" s="11"/>
      <c r="F56" s="11"/>
      <c r="G56" s="2"/>
    </row>
    <row r="57" spans="1:7" x14ac:dyDescent="0.3">
      <c r="A57" s="15"/>
      <c r="B57" s="11"/>
      <c r="C57" s="11"/>
      <c r="D57" s="11"/>
      <c r="E57" s="11"/>
      <c r="F57" s="11"/>
      <c r="G57" s="2"/>
    </row>
    <row r="58" spans="1:7" x14ac:dyDescent="0.3">
      <c r="A58" s="15"/>
      <c r="B58" s="11"/>
      <c r="C58" s="11"/>
      <c r="D58" s="11"/>
      <c r="E58" s="11"/>
      <c r="F58" s="11"/>
      <c r="G58" s="2"/>
    </row>
    <row r="59" spans="1:7" x14ac:dyDescent="0.3">
      <c r="A59" s="15"/>
      <c r="B59" s="11"/>
      <c r="C59" s="11"/>
      <c r="D59" s="11"/>
      <c r="E59" s="11"/>
      <c r="F59" s="11"/>
      <c r="G59" s="2"/>
    </row>
    <row r="60" spans="1:7" x14ac:dyDescent="0.3">
      <c r="A60" s="15"/>
      <c r="B60" s="11"/>
      <c r="C60" s="11"/>
      <c r="D60" s="11"/>
      <c r="E60" s="11"/>
      <c r="F60" s="11"/>
      <c r="G60" s="2"/>
    </row>
    <row r="61" spans="1:7" x14ac:dyDescent="0.3">
      <c r="A61" s="15"/>
      <c r="B61" s="11"/>
      <c r="C61" s="11"/>
      <c r="D61" s="11"/>
      <c r="E61" s="11"/>
      <c r="F61" s="11"/>
      <c r="G61" s="2"/>
    </row>
    <row r="62" spans="1:7" x14ac:dyDescent="0.3">
      <c r="A62" s="15"/>
      <c r="B62" s="11"/>
      <c r="C62" s="11"/>
      <c r="D62" s="11"/>
      <c r="E62" s="11"/>
      <c r="F62" s="11"/>
      <c r="G62" s="2"/>
    </row>
    <row r="63" spans="1:7" x14ac:dyDescent="0.3">
      <c r="A63" s="15"/>
      <c r="B63" s="11"/>
      <c r="C63" s="11"/>
      <c r="D63" s="11"/>
      <c r="E63" s="11"/>
      <c r="F63" s="11"/>
      <c r="G63" s="2"/>
    </row>
    <row r="64" spans="1:7" x14ac:dyDescent="0.3">
      <c r="A64" s="15"/>
      <c r="B64" s="11"/>
      <c r="C64" s="11"/>
      <c r="D64" s="11"/>
      <c r="E64" s="11"/>
      <c r="F64" s="11"/>
      <c r="G64" s="2"/>
    </row>
    <row r="65" spans="1:7" x14ac:dyDescent="0.3">
      <c r="A65" s="15"/>
      <c r="B65" s="11"/>
      <c r="C65" s="11"/>
      <c r="D65" s="11"/>
      <c r="E65" s="11"/>
      <c r="F65" s="11"/>
      <c r="G65" s="2"/>
    </row>
    <row r="66" spans="1:7" x14ac:dyDescent="0.3">
      <c r="A66" s="15"/>
      <c r="B66" s="11"/>
      <c r="C66" s="11"/>
      <c r="D66" s="11"/>
      <c r="E66" s="11"/>
      <c r="F66" s="11"/>
      <c r="G66" s="2"/>
    </row>
    <row r="67" spans="1:7" x14ac:dyDescent="0.3">
      <c r="A67" s="15"/>
      <c r="B67" s="11"/>
      <c r="C67" s="11"/>
      <c r="D67" s="11"/>
      <c r="E67" s="11"/>
      <c r="F67" s="11"/>
      <c r="G67" s="2"/>
    </row>
    <row r="68" spans="1:7" x14ac:dyDescent="0.3">
      <c r="A68" s="15"/>
      <c r="B68" s="11"/>
      <c r="C68" s="11"/>
      <c r="D68" s="11"/>
      <c r="E68" s="11"/>
      <c r="F68" s="11"/>
      <c r="G68" s="2"/>
    </row>
    <row r="69" spans="1:7" x14ac:dyDescent="0.3">
      <c r="A69" s="15"/>
      <c r="B69" s="11"/>
      <c r="C69" s="11"/>
      <c r="D69" s="11"/>
      <c r="E69" s="11"/>
      <c r="F69" s="11"/>
      <c r="G69" s="2"/>
    </row>
    <row r="70" spans="1:7" x14ac:dyDescent="0.3">
      <c r="A70" s="15"/>
      <c r="B70" s="11"/>
      <c r="C70" s="11"/>
      <c r="D70" s="11"/>
      <c r="E70" s="11"/>
      <c r="F70" s="11"/>
      <c r="G70" s="2"/>
    </row>
    <row r="71" spans="1:7" x14ac:dyDescent="0.3">
      <c r="A71" s="15"/>
      <c r="B71" s="11"/>
      <c r="C71" s="11"/>
      <c r="D71" s="11"/>
      <c r="E71" s="11"/>
      <c r="F71" s="11"/>
      <c r="G71" s="2"/>
    </row>
    <row r="72" spans="1:7" x14ac:dyDescent="0.3">
      <c r="A72" s="15"/>
      <c r="B72" s="11"/>
      <c r="C72" s="11"/>
      <c r="D72" s="11"/>
      <c r="E72" s="11"/>
      <c r="F72" s="11"/>
      <c r="G72" s="2"/>
    </row>
    <row r="73" spans="1:7" x14ac:dyDescent="0.3">
      <c r="A73" s="15"/>
      <c r="B73" s="11"/>
      <c r="C73" s="11"/>
      <c r="D73" s="11"/>
      <c r="E73" s="11"/>
      <c r="F73" s="11"/>
      <c r="G73" s="2"/>
    </row>
    <row r="74" spans="1:7" x14ac:dyDescent="0.3">
      <c r="A74" s="15"/>
      <c r="B74" s="11"/>
      <c r="C74" s="11"/>
      <c r="D74" s="11"/>
      <c r="E74" s="11"/>
      <c r="F74" s="11"/>
      <c r="G74" s="2"/>
    </row>
    <row r="75" spans="1:7" x14ac:dyDescent="0.3">
      <c r="A75" s="15"/>
      <c r="B75" s="11"/>
      <c r="C75" s="11"/>
      <c r="D75" s="11"/>
      <c r="E75" s="11"/>
      <c r="F75" s="11"/>
      <c r="G75" s="2"/>
    </row>
    <row r="76" spans="1:7" x14ac:dyDescent="0.3">
      <c r="A76" s="15"/>
      <c r="B76" s="11"/>
      <c r="C76" s="11"/>
      <c r="D76" s="11"/>
      <c r="E76" s="11"/>
      <c r="F76" s="11"/>
      <c r="G76" s="2"/>
    </row>
    <row r="77" spans="1:7" x14ac:dyDescent="0.3">
      <c r="A77" s="15"/>
      <c r="B77" s="11"/>
      <c r="C77" s="11"/>
      <c r="D77" s="11"/>
      <c r="E77" s="11"/>
      <c r="F77" s="11"/>
      <c r="G77" s="2"/>
    </row>
    <row r="78" spans="1:7" x14ac:dyDescent="0.3">
      <c r="A78" s="15"/>
      <c r="B78" s="11"/>
      <c r="C78" s="11"/>
      <c r="D78" s="11"/>
      <c r="E78" s="11"/>
      <c r="F78" s="11"/>
      <c r="G78" s="2"/>
    </row>
    <row r="79" spans="1:7" x14ac:dyDescent="0.3">
      <c r="A79" s="15"/>
      <c r="B79" s="11"/>
      <c r="C79" s="11"/>
      <c r="D79" s="11"/>
      <c r="E79" s="11"/>
      <c r="F79" s="11"/>
      <c r="G79" s="2"/>
    </row>
    <row r="80" spans="1:7" x14ac:dyDescent="0.3">
      <c r="A80" s="15"/>
      <c r="B80" s="11"/>
      <c r="C80" s="11"/>
      <c r="D80" s="11"/>
      <c r="E80" s="11"/>
      <c r="F80" s="11"/>
      <c r="G80" s="2"/>
    </row>
    <row r="81" spans="1:7" x14ac:dyDescent="0.3">
      <c r="A81" s="15"/>
      <c r="B81" s="11"/>
      <c r="C81" s="11"/>
      <c r="D81" s="11"/>
      <c r="E81" s="11"/>
      <c r="F81" s="11"/>
      <c r="G81" s="2"/>
    </row>
    <row r="82" spans="1:7" x14ac:dyDescent="0.3">
      <c r="A82" s="15"/>
      <c r="B82" s="11"/>
      <c r="C82" s="11"/>
      <c r="D82" s="11"/>
      <c r="E82" s="11"/>
      <c r="F82" s="11"/>
      <c r="G82" s="2"/>
    </row>
    <row r="83" spans="1:7" x14ac:dyDescent="0.3">
      <c r="A83" s="15"/>
      <c r="B83" s="11"/>
      <c r="C83" s="11"/>
      <c r="D83" s="11"/>
      <c r="E83" s="11"/>
      <c r="F83" s="11"/>
      <c r="G83" s="2"/>
    </row>
    <row r="84" spans="1:7" x14ac:dyDescent="0.3">
      <c r="A84" s="15"/>
      <c r="B84" s="11"/>
      <c r="C84" s="11"/>
      <c r="D84" s="11"/>
      <c r="E84" s="11"/>
      <c r="F84" s="11"/>
      <c r="G84" s="2"/>
    </row>
    <row r="85" spans="1:7" x14ac:dyDescent="0.3">
      <c r="A85" s="15"/>
      <c r="B85" s="11"/>
      <c r="C85" s="11"/>
      <c r="D85" s="11"/>
      <c r="E85" s="11"/>
      <c r="F85" s="11"/>
      <c r="G85" s="2"/>
    </row>
    <row r="86" spans="1:7" x14ac:dyDescent="0.3">
      <c r="A86" s="15"/>
      <c r="B86" s="11"/>
      <c r="C86" s="11"/>
      <c r="D86" s="11"/>
      <c r="E86" s="11"/>
      <c r="F86" s="11"/>
      <c r="G86" s="2"/>
    </row>
    <row r="87" spans="1:7" x14ac:dyDescent="0.3">
      <c r="A87" s="15"/>
      <c r="B87" s="11"/>
      <c r="C87" s="11"/>
      <c r="D87" s="11"/>
      <c r="E87" s="11"/>
      <c r="F87" s="11"/>
      <c r="G87" s="2"/>
    </row>
    <row r="88" spans="1:7" x14ac:dyDescent="0.3">
      <c r="A88" s="15"/>
      <c r="B88" s="11"/>
      <c r="C88" s="11"/>
      <c r="D88" s="11"/>
      <c r="E88" s="11"/>
      <c r="F88" s="11"/>
      <c r="G88" s="2"/>
    </row>
    <row r="89" spans="1:7" x14ac:dyDescent="0.3">
      <c r="A89" s="15"/>
      <c r="B89" s="11"/>
      <c r="C89" s="11"/>
      <c r="D89" s="11"/>
      <c r="E89" s="11"/>
      <c r="F89" s="11"/>
      <c r="G89" s="2"/>
    </row>
    <row r="90" spans="1:7" x14ac:dyDescent="0.3">
      <c r="A90" s="15"/>
      <c r="B90" s="11"/>
      <c r="C90" s="11"/>
      <c r="D90" s="11"/>
      <c r="E90" s="11"/>
      <c r="F90" s="11"/>
      <c r="G90" s="2"/>
    </row>
    <row r="91" spans="1:7" x14ac:dyDescent="0.3">
      <c r="A91" s="15"/>
      <c r="B91" s="11"/>
      <c r="C91" s="11"/>
      <c r="D91" s="11"/>
      <c r="E91" s="11"/>
      <c r="F91" s="11"/>
      <c r="G91" s="2"/>
    </row>
    <row r="92" spans="1:7" x14ac:dyDescent="0.3">
      <c r="A92" s="15"/>
      <c r="B92" s="11"/>
      <c r="C92" s="11"/>
      <c r="D92" s="11"/>
      <c r="E92" s="11"/>
      <c r="F92" s="11"/>
      <c r="G92" s="2"/>
    </row>
    <row r="93" spans="1:7" x14ac:dyDescent="0.3">
      <c r="A93" s="15"/>
      <c r="B93" s="11"/>
      <c r="C93" s="11"/>
      <c r="D93" s="11"/>
      <c r="E93" s="11"/>
      <c r="F93" s="11"/>
      <c r="G93" s="2"/>
    </row>
    <row r="94" spans="1:7" x14ac:dyDescent="0.3">
      <c r="A94" s="15"/>
      <c r="B94" s="11"/>
      <c r="C94" s="11"/>
      <c r="D94" s="11"/>
      <c r="E94" s="11"/>
      <c r="F94" s="11"/>
      <c r="G94" s="2"/>
    </row>
    <row r="95" spans="1:7" x14ac:dyDescent="0.3">
      <c r="A95" s="15"/>
      <c r="B95" s="11"/>
      <c r="C95" s="11"/>
      <c r="D95" s="11"/>
      <c r="E95" s="11"/>
      <c r="F95" s="11"/>
      <c r="G95" s="2"/>
    </row>
    <row r="96" spans="1:7" x14ac:dyDescent="0.3">
      <c r="A96" s="15"/>
      <c r="B96" s="11"/>
      <c r="C96" s="11"/>
      <c r="D96" s="11"/>
      <c r="E96" s="11"/>
      <c r="F96" s="11"/>
      <c r="G96" s="2"/>
    </row>
    <row r="97" spans="1:7" x14ac:dyDescent="0.3">
      <c r="A97" s="15"/>
      <c r="B97" s="11"/>
      <c r="C97" s="11"/>
      <c r="D97" s="11"/>
      <c r="E97" s="11"/>
      <c r="F97" s="11"/>
      <c r="G97" s="2"/>
    </row>
    <row r="98" spans="1:7" x14ac:dyDescent="0.3">
      <c r="A98" s="15"/>
      <c r="B98" s="11"/>
      <c r="C98" s="11"/>
      <c r="D98" s="11"/>
      <c r="E98" s="11"/>
      <c r="F98" s="11"/>
      <c r="G98" s="2"/>
    </row>
    <row r="99" spans="1:7" x14ac:dyDescent="0.3">
      <c r="A99" s="15"/>
      <c r="B99" s="11"/>
      <c r="C99" s="11"/>
      <c r="D99" s="11"/>
      <c r="E99" s="11"/>
      <c r="F99" s="11"/>
      <c r="G99" s="2"/>
    </row>
    <row r="100" spans="1:7" x14ac:dyDescent="0.3">
      <c r="A100" s="15"/>
      <c r="B100" s="11"/>
      <c r="C100" s="11"/>
      <c r="D100" s="11"/>
      <c r="E100" s="11"/>
      <c r="F100" s="11"/>
      <c r="G100" s="2"/>
    </row>
    <row r="101" spans="1:7" x14ac:dyDescent="0.3">
      <c r="A101" s="15"/>
      <c r="B101" s="11"/>
      <c r="C101" s="11"/>
      <c r="D101" s="11"/>
      <c r="E101" s="11"/>
      <c r="F101" s="11"/>
      <c r="G101" s="2"/>
    </row>
    <row r="102" spans="1:7" x14ac:dyDescent="0.3">
      <c r="A102" s="15"/>
      <c r="B102" s="11"/>
      <c r="C102" s="11"/>
      <c r="D102" s="11"/>
      <c r="E102" s="11"/>
      <c r="F102" s="11"/>
      <c r="G102" s="2"/>
    </row>
    <row r="103" spans="1:7" x14ac:dyDescent="0.3">
      <c r="A103" s="15"/>
      <c r="B103" s="11"/>
      <c r="C103" s="11"/>
      <c r="D103" s="11"/>
      <c r="E103" s="11"/>
      <c r="F103" s="11"/>
      <c r="G103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FC22-98F7-4DC3-9945-8A66615755E2}">
  <dimension ref="A1:G103"/>
  <sheetViews>
    <sheetView topLeftCell="A25" workbookViewId="0">
      <selection activeCell="A2" sqref="A2:A51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3.21875" bestFit="1" customWidth="1"/>
    <col min="4" max="4" width="12.5546875" bestFit="1" customWidth="1"/>
    <col min="5" max="5" width="13.21875" bestFit="1" customWidth="1"/>
  </cols>
  <sheetData>
    <row r="1" spans="1:7" ht="43.2" x14ac:dyDescent="0.3">
      <c r="A1" s="43" t="s">
        <v>5</v>
      </c>
      <c r="B1" s="44" t="s">
        <v>1</v>
      </c>
      <c r="C1" s="44" t="s">
        <v>2</v>
      </c>
      <c r="D1" s="44" t="s">
        <v>3</v>
      </c>
      <c r="E1" s="44" t="s">
        <v>4</v>
      </c>
      <c r="F1" s="45" t="s">
        <v>8</v>
      </c>
      <c r="G1" s="45" t="s">
        <v>7</v>
      </c>
    </row>
    <row r="2" spans="1:7" x14ac:dyDescent="0.3">
      <c r="A2" s="148">
        <v>1</v>
      </c>
      <c r="B2" s="11" cm="1">
        <f t="array" ref="B2:B51">VLOOKUP(A2:A51, WITHINCITY!B4:D53,3,0)</f>
        <v>30</v>
      </c>
      <c r="C2" s="11" cm="1">
        <f t="array" ref="C2:C51">VLOOKUP(A2:A51, WITHINSTATE!B4:D53,3,0)</f>
        <v>60</v>
      </c>
      <c r="D2" s="11" cm="1">
        <f t="array" ref="D2:D51">VLOOKUP('ANJANI COURIER SERVICE'!A2:A51, WITHINZONE!B4:D53,3,0)</f>
        <v>150</v>
      </c>
      <c r="E2" s="11" cm="1">
        <f t="array" ref="E2:E51">VLOOKUP(A2:A51, RESTOFINDIA!B4:D53,3,0)</f>
        <v>180</v>
      </c>
      <c r="F2" s="11" cm="1">
        <f t="array" ref="F2:F51">VLOOKUP(A2:A51, 'METRO TO METRO'!B4:D53,3,0)</f>
        <v>180</v>
      </c>
      <c r="G2" s="11" cm="1">
        <f t="array" ref="G2:G51">VLOOKUP(A2:A51, SPECIALDESTINATION!B4:D53,3,0)</f>
        <v>180</v>
      </c>
    </row>
    <row r="3" spans="1:7" x14ac:dyDescent="0.3">
      <c r="A3" s="15">
        <f>A2 + 1</f>
        <v>2</v>
      </c>
      <c r="B3" s="11">
        <v>60</v>
      </c>
      <c r="C3" s="11">
        <v>120</v>
      </c>
      <c r="D3" s="11">
        <v>300</v>
      </c>
      <c r="E3" s="11">
        <v>360</v>
      </c>
      <c r="F3" s="11">
        <v>360</v>
      </c>
      <c r="G3" s="11">
        <v>360</v>
      </c>
    </row>
    <row r="4" spans="1:7" x14ac:dyDescent="0.3">
      <c r="A4" s="15">
        <f t="shared" ref="A4:A51" si="0">A3 + 1</f>
        <v>3</v>
      </c>
      <c r="B4" s="11">
        <v>90</v>
      </c>
      <c r="C4" s="11">
        <v>180</v>
      </c>
      <c r="D4" s="11">
        <v>450</v>
      </c>
      <c r="E4" s="11">
        <v>540</v>
      </c>
      <c r="F4" s="11">
        <v>540</v>
      </c>
      <c r="G4" s="11">
        <v>540</v>
      </c>
    </row>
    <row r="5" spans="1:7" x14ac:dyDescent="0.3">
      <c r="A5" s="15">
        <f t="shared" si="0"/>
        <v>4</v>
      </c>
      <c r="B5" s="11">
        <v>120</v>
      </c>
      <c r="C5" s="11">
        <v>240</v>
      </c>
      <c r="D5" s="11">
        <v>600</v>
      </c>
      <c r="E5" s="11">
        <v>720</v>
      </c>
      <c r="F5" s="11">
        <v>720</v>
      </c>
      <c r="G5" s="11">
        <v>720</v>
      </c>
    </row>
    <row r="6" spans="1:7" x14ac:dyDescent="0.3">
      <c r="A6" s="15">
        <f t="shared" si="0"/>
        <v>5</v>
      </c>
      <c r="B6" s="11">
        <v>150</v>
      </c>
      <c r="C6" s="11">
        <v>300</v>
      </c>
      <c r="D6" s="11">
        <v>750</v>
      </c>
      <c r="E6" s="11">
        <v>900</v>
      </c>
      <c r="F6" s="11">
        <v>900</v>
      </c>
      <c r="G6" s="11">
        <v>900</v>
      </c>
    </row>
    <row r="7" spans="1:7" x14ac:dyDescent="0.3">
      <c r="A7" s="15">
        <f t="shared" si="0"/>
        <v>6</v>
      </c>
      <c r="B7" s="11">
        <v>180</v>
      </c>
      <c r="C7" s="11">
        <v>360</v>
      </c>
      <c r="D7" s="11">
        <v>900</v>
      </c>
      <c r="E7" s="11">
        <v>1080</v>
      </c>
      <c r="F7" s="11">
        <v>1080</v>
      </c>
      <c r="G7" s="11">
        <v>1080</v>
      </c>
    </row>
    <row r="8" spans="1:7" x14ac:dyDescent="0.3">
      <c r="A8" s="15">
        <f t="shared" si="0"/>
        <v>7</v>
      </c>
      <c r="B8" s="11">
        <v>210</v>
      </c>
      <c r="C8" s="11">
        <v>420</v>
      </c>
      <c r="D8" s="11">
        <v>1050</v>
      </c>
      <c r="E8" s="11">
        <v>1260</v>
      </c>
      <c r="F8" s="11">
        <v>1260</v>
      </c>
      <c r="G8" s="11">
        <v>1260</v>
      </c>
    </row>
    <row r="9" spans="1:7" x14ac:dyDescent="0.3">
      <c r="A9" s="15">
        <f t="shared" si="0"/>
        <v>8</v>
      </c>
      <c r="B9" s="11">
        <v>240</v>
      </c>
      <c r="C9" s="11">
        <v>480</v>
      </c>
      <c r="D9" s="11">
        <v>1200</v>
      </c>
      <c r="E9" s="11">
        <v>1440</v>
      </c>
      <c r="F9" s="11">
        <v>1440</v>
      </c>
      <c r="G9" s="11">
        <v>1440</v>
      </c>
    </row>
    <row r="10" spans="1:7" x14ac:dyDescent="0.3">
      <c r="A10" s="15">
        <f t="shared" si="0"/>
        <v>9</v>
      </c>
      <c r="B10" s="11">
        <v>270</v>
      </c>
      <c r="C10" s="11">
        <v>540</v>
      </c>
      <c r="D10" s="11">
        <v>1350</v>
      </c>
      <c r="E10" s="11">
        <v>1620</v>
      </c>
      <c r="F10" s="11">
        <v>1620</v>
      </c>
      <c r="G10" s="11">
        <v>1620</v>
      </c>
    </row>
    <row r="11" spans="1:7" x14ac:dyDescent="0.3">
      <c r="A11" s="15">
        <f t="shared" si="0"/>
        <v>10</v>
      </c>
      <c r="B11" s="11">
        <v>300</v>
      </c>
      <c r="C11" s="11">
        <v>600</v>
      </c>
      <c r="D11" s="11">
        <v>1500</v>
      </c>
      <c r="E11" s="11">
        <v>1800</v>
      </c>
      <c r="F11" s="11">
        <v>1800</v>
      </c>
      <c r="G11" s="11">
        <v>1800</v>
      </c>
    </row>
    <row r="12" spans="1:7" x14ac:dyDescent="0.3">
      <c r="A12" s="15">
        <f t="shared" si="0"/>
        <v>11</v>
      </c>
      <c r="B12" s="11">
        <v>330</v>
      </c>
      <c r="C12" s="11">
        <v>660</v>
      </c>
      <c r="D12" s="11">
        <v>1650</v>
      </c>
      <c r="E12" s="11">
        <v>1980</v>
      </c>
      <c r="F12" s="11">
        <v>1980</v>
      </c>
      <c r="G12" s="11">
        <v>1980</v>
      </c>
    </row>
    <row r="13" spans="1:7" x14ac:dyDescent="0.3">
      <c r="A13" s="15">
        <f t="shared" si="0"/>
        <v>12</v>
      </c>
      <c r="B13" s="11">
        <v>360</v>
      </c>
      <c r="C13" s="11">
        <v>720</v>
      </c>
      <c r="D13" s="11">
        <v>1800</v>
      </c>
      <c r="E13" s="11">
        <v>2160</v>
      </c>
      <c r="F13" s="11">
        <v>2160</v>
      </c>
      <c r="G13" s="11">
        <v>2160</v>
      </c>
    </row>
    <row r="14" spans="1:7" x14ac:dyDescent="0.3">
      <c r="A14" s="15">
        <f t="shared" si="0"/>
        <v>13</v>
      </c>
      <c r="B14" s="11">
        <v>390</v>
      </c>
      <c r="C14" s="11">
        <v>780</v>
      </c>
      <c r="D14" s="11">
        <v>1950</v>
      </c>
      <c r="E14" s="11">
        <v>2340</v>
      </c>
      <c r="F14" s="11">
        <v>2340</v>
      </c>
      <c r="G14" s="11">
        <v>2340</v>
      </c>
    </row>
    <row r="15" spans="1:7" x14ac:dyDescent="0.3">
      <c r="A15" s="15">
        <f t="shared" si="0"/>
        <v>14</v>
      </c>
      <c r="B15" s="11">
        <v>420</v>
      </c>
      <c r="C15" s="11">
        <v>840</v>
      </c>
      <c r="D15" s="11">
        <v>2100</v>
      </c>
      <c r="E15" s="11">
        <v>2520</v>
      </c>
      <c r="F15" s="11">
        <v>2520</v>
      </c>
      <c r="G15" s="11">
        <v>2520</v>
      </c>
    </row>
    <row r="16" spans="1:7" x14ac:dyDescent="0.3">
      <c r="A16" s="15">
        <f t="shared" si="0"/>
        <v>15</v>
      </c>
      <c r="B16" s="11">
        <v>450</v>
      </c>
      <c r="C16" s="11">
        <v>900</v>
      </c>
      <c r="D16" s="11">
        <v>2250</v>
      </c>
      <c r="E16" s="11">
        <v>2700</v>
      </c>
      <c r="F16" s="11">
        <v>2700</v>
      </c>
      <c r="G16" s="11">
        <v>2700</v>
      </c>
    </row>
    <row r="17" spans="1:7" x14ac:dyDescent="0.3">
      <c r="A17" s="15">
        <f t="shared" si="0"/>
        <v>16</v>
      </c>
      <c r="B17" s="11">
        <v>480</v>
      </c>
      <c r="C17" s="11">
        <v>960</v>
      </c>
      <c r="D17" s="11">
        <v>2400</v>
      </c>
      <c r="E17" s="11">
        <v>2880</v>
      </c>
      <c r="F17" s="11">
        <v>2880</v>
      </c>
      <c r="G17" s="11">
        <v>2880</v>
      </c>
    </row>
    <row r="18" spans="1:7" x14ac:dyDescent="0.3">
      <c r="A18" s="15">
        <f t="shared" si="0"/>
        <v>17</v>
      </c>
      <c r="B18" s="11">
        <v>510</v>
      </c>
      <c r="C18" s="11">
        <v>1020</v>
      </c>
      <c r="D18" s="11">
        <v>2550</v>
      </c>
      <c r="E18" s="11">
        <v>3060</v>
      </c>
      <c r="F18" s="11">
        <v>3060</v>
      </c>
      <c r="G18" s="11">
        <v>3060</v>
      </c>
    </row>
    <row r="19" spans="1:7" x14ac:dyDescent="0.3">
      <c r="A19" s="15">
        <f t="shared" si="0"/>
        <v>18</v>
      </c>
      <c r="B19" s="11">
        <v>540</v>
      </c>
      <c r="C19" s="11">
        <v>1080</v>
      </c>
      <c r="D19" s="11">
        <v>2700</v>
      </c>
      <c r="E19" s="11">
        <v>3240</v>
      </c>
      <c r="F19" s="11">
        <v>3240</v>
      </c>
      <c r="G19" s="11">
        <v>3240</v>
      </c>
    </row>
    <row r="20" spans="1:7" x14ac:dyDescent="0.3">
      <c r="A20" s="15">
        <f t="shared" si="0"/>
        <v>19</v>
      </c>
      <c r="B20" s="11">
        <v>570</v>
      </c>
      <c r="C20" s="11">
        <v>1140</v>
      </c>
      <c r="D20" s="11">
        <v>2850</v>
      </c>
      <c r="E20" s="11">
        <v>3420</v>
      </c>
      <c r="F20" s="11">
        <v>3420</v>
      </c>
      <c r="G20" s="11">
        <v>3420</v>
      </c>
    </row>
    <row r="21" spans="1:7" x14ac:dyDescent="0.3">
      <c r="A21" s="15">
        <f t="shared" si="0"/>
        <v>20</v>
      </c>
      <c r="B21" s="11">
        <v>600</v>
      </c>
      <c r="C21" s="11">
        <v>1200</v>
      </c>
      <c r="D21" s="11">
        <v>3000</v>
      </c>
      <c r="E21" s="11">
        <v>3600</v>
      </c>
      <c r="F21" s="11">
        <v>3600</v>
      </c>
      <c r="G21" s="11">
        <v>3600</v>
      </c>
    </row>
    <row r="22" spans="1:7" x14ac:dyDescent="0.3">
      <c r="A22" s="15">
        <f t="shared" si="0"/>
        <v>21</v>
      </c>
      <c r="B22" s="11">
        <v>630</v>
      </c>
      <c r="C22" s="11">
        <v>1260</v>
      </c>
      <c r="D22" s="11">
        <v>3150</v>
      </c>
      <c r="E22" s="11">
        <v>3780</v>
      </c>
      <c r="F22" s="11">
        <v>3780</v>
      </c>
      <c r="G22" s="11">
        <v>3780</v>
      </c>
    </row>
    <row r="23" spans="1:7" x14ac:dyDescent="0.3">
      <c r="A23" s="15">
        <f t="shared" si="0"/>
        <v>22</v>
      </c>
      <c r="B23" s="11">
        <v>660</v>
      </c>
      <c r="C23" s="11">
        <v>1320</v>
      </c>
      <c r="D23" s="11">
        <v>3300</v>
      </c>
      <c r="E23" s="11">
        <v>3960</v>
      </c>
      <c r="F23" s="11">
        <v>3960</v>
      </c>
      <c r="G23" s="11">
        <v>3960</v>
      </c>
    </row>
    <row r="24" spans="1:7" x14ac:dyDescent="0.3">
      <c r="A24" s="15">
        <f t="shared" si="0"/>
        <v>23</v>
      </c>
      <c r="B24" s="11">
        <v>690</v>
      </c>
      <c r="C24" s="11">
        <v>1380</v>
      </c>
      <c r="D24" s="11">
        <v>3450</v>
      </c>
      <c r="E24" s="11">
        <v>4140</v>
      </c>
      <c r="F24" s="11">
        <v>4140</v>
      </c>
      <c r="G24" s="11">
        <v>4140</v>
      </c>
    </row>
    <row r="25" spans="1:7" x14ac:dyDescent="0.3">
      <c r="A25" s="15">
        <f t="shared" si="0"/>
        <v>24</v>
      </c>
      <c r="B25" s="11">
        <v>720</v>
      </c>
      <c r="C25" s="11">
        <v>1440</v>
      </c>
      <c r="D25" s="11">
        <v>3600</v>
      </c>
      <c r="E25" s="11">
        <v>4320</v>
      </c>
      <c r="F25" s="11">
        <v>4320</v>
      </c>
      <c r="G25" s="11">
        <v>4320</v>
      </c>
    </row>
    <row r="26" spans="1:7" x14ac:dyDescent="0.3">
      <c r="A26" s="15">
        <f t="shared" si="0"/>
        <v>25</v>
      </c>
      <c r="B26" s="11">
        <v>750</v>
      </c>
      <c r="C26" s="11">
        <v>1500</v>
      </c>
      <c r="D26" s="11">
        <v>3750</v>
      </c>
      <c r="E26" s="11">
        <v>4500</v>
      </c>
      <c r="F26" s="11">
        <v>4500</v>
      </c>
      <c r="G26" s="11">
        <v>4500</v>
      </c>
    </row>
    <row r="27" spans="1:7" x14ac:dyDescent="0.3">
      <c r="A27" s="15">
        <f t="shared" si="0"/>
        <v>26</v>
      </c>
      <c r="B27" s="11">
        <v>780</v>
      </c>
      <c r="C27" s="11">
        <v>1560</v>
      </c>
      <c r="D27" s="11">
        <v>3900</v>
      </c>
      <c r="E27" s="11">
        <v>4680</v>
      </c>
      <c r="F27" s="11">
        <v>4680</v>
      </c>
      <c r="G27" s="11">
        <v>4680</v>
      </c>
    </row>
    <row r="28" spans="1:7" x14ac:dyDescent="0.3">
      <c r="A28" s="15">
        <f t="shared" si="0"/>
        <v>27</v>
      </c>
      <c r="B28" s="11">
        <v>810</v>
      </c>
      <c r="C28" s="11">
        <v>1620</v>
      </c>
      <c r="D28" s="11">
        <v>4050</v>
      </c>
      <c r="E28" s="11">
        <v>4860</v>
      </c>
      <c r="F28" s="11">
        <v>4860</v>
      </c>
      <c r="G28" s="11">
        <v>4860</v>
      </c>
    </row>
    <row r="29" spans="1:7" x14ac:dyDescent="0.3">
      <c r="A29" s="15">
        <f t="shared" si="0"/>
        <v>28</v>
      </c>
      <c r="B29" s="11">
        <v>840</v>
      </c>
      <c r="C29" s="11">
        <v>1680</v>
      </c>
      <c r="D29" s="11">
        <v>4200</v>
      </c>
      <c r="E29" s="11">
        <v>5040</v>
      </c>
      <c r="F29" s="11">
        <v>5040</v>
      </c>
      <c r="G29" s="11">
        <v>5040</v>
      </c>
    </row>
    <row r="30" spans="1:7" x14ac:dyDescent="0.3">
      <c r="A30" s="15">
        <f t="shared" si="0"/>
        <v>29</v>
      </c>
      <c r="B30" s="11">
        <v>870</v>
      </c>
      <c r="C30" s="11">
        <v>1740</v>
      </c>
      <c r="D30" s="11">
        <v>4350</v>
      </c>
      <c r="E30" s="11">
        <v>5220</v>
      </c>
      <c r="F30" s="11">
        <v>5220</v>
      </c>
      <c r="G30" s="11">
        <v>5220</v>
      </c>
    </row>
    <row r="31" spans="1:7" x14ac:dyDescent="0.3">
      <c r="A31" s="15">
        <f t="shared" si="0"/>
        <v>30</v>
      </c>
      <c r="B31" s="11">
        <v>900</v>
      </c>
      <c r="C31" s="11">
        <v>1800</v>
      </c>
      <c r="D31" s="11">
        <v>4500</v>
      </c>
      <c r="E31" s="11">
        <v>5400</v>
      </c>
      <c r="F31" s="11">
        <v>5400</v>
      </c>
      <c r="G31" s="11">
        <v>5400</v>
      </c>
    </row>
    <row r="32" spans="1:7" x14ac:dyDescent="0.3">
      <c r="A32" s="15">
        <f t="shared" si="0"/>
        <v>31</v>
      </c>
      <c r="B32" s="11">
        <v>930</v>
      </c>
      <c r="C32" s="11">
        <v>1860</v>
      </c>
      <c r="D32" s="11">
        <v>4650</v>
      </c>
      <c r="E32" s="11">
        <v>5580</v>
      </c>
      <c r="F32" s="11">
        <v>5580</v>
      </c>
      <c r="G32" s="11">
        <v>5580</v>
      </c>
    </row>
    <row r="33" spans="1:7" x14ac:dyDescent="0.3">
      <c r="A33" s="15">
        <f t="shared" si="0"/>
        <v>32</v>
      </c>
      <c r="B33" s="11">
        <v>960</v>
      </c>
      <c r="C33" s="11">
        <v>1920</v>
      </c>
      <c r="D33" s="11">
        <v>4800</v>
      </c>
      <c r="E33" s="11">
        <v>5760</v>
      </c>
      <c r="F33" s="11">
        <v>5760</v>
      </c>
      <c r="G33" s="11">
        <v>5760</v>
      </c>
    </row>
    <row r="34" spans="1:7" x14ac:dyDescent="0.3">
      <c r="A34" s="15">
        <f t="shared" si="0"/>
        <v>33</v>
      </c>
      <c r="B34" s="11">
        <v>990</v>
      </c>
      <c r="C34" s="11">
        <v>1980</v>
      </c>
      <c r="D34" s="11">
        <v>4950</v>
      </c>
      <c r="E34" s="11">
        <v>5940</v>
      </c>
      <c r="F34" s="11">
        <v>5940</v>
      </c>
      <c r="G34" s="11">
        <v>5940</v>
      </c>
    </row>
    <row r="35" spans="1:7" x14ac:dyDescent="0.3">
      <c r="A35" s="15">
        <f t="shared" si="0"/>
        <v>34</v>
      </c>
      <c r="B35" s="11">
        <v>1020</v>
      </c>
      <c r="C35" s="11">
        <v>2040</v>
      </c>
      <c r="D35" s="11">
        <v>5100</v>
      </c>
      <c r="E35" s="11">
        <v>6120</v>
      </c>
      <c r="F35" s="11">
        <v>6120</v>
      </c>
      <c r="G35" s="11">
        <v>6120</v>
      </c>
    </row>
    <row r="36" spans="1:7" x14ac:dyDescent="0.3">
      <c r="A36" s="15">
        <f t="shared" si="0"/>
        <v>35</v>
      </c>
      <c r="B36" s="11">
        <v>1050</v>
      </c>
      <c r="C36" s="11">
        <v>2100</v>
      </c>
      <c r="D36" s="11">
        <v>5250</v>
      </c>
      <c r="E36" s="11">
        <v>6300</v>
      </c>
      <c r="F36" s="11">
        <v>6300</v>
      </c>
      <c r="G36" s="11">
        <v>6300</v>
      </c>
    </row>
    <row r="37" spans="1:7" x14ac:dyDescent="0.3">
      <c r="A37" s="15">
        <f t="shared" si="0"/>
        <v>36</v>
      </c>
      <c r="B37" s="11">
        <v>1080</v>
      </c>
      <c r="C37" s="11">
        <v>2160</v>
      </c>
      <c r="D37" s="11">
        <v>5400</v>
      </c>
      <c r="E37" s="11">
        <v>6480</v>
      </c>
      <c r="F37" s="11">
        <v>6480</v>
      </c>
      <c r="G37" s="11">
        <v>6480</v>
      </c>
    </row>
    <row r="38" spans="1:7" x14ac:dyDescent="0.3">
      <c r="A38" s="15">
        <f t="shared" si="0"/>
        <v>37</v>
      </c>
      <c r="B38" s="11">
        <v>1110</v>
      </c>
      <c r="C38" s="11">
        <v>2220</v>
      </c>
      <c r="D38" s="11">
        <v>5550</v>
      </c>
      <c r="E38" s="11">
        <v>6660</v>
      </c>
      <c r="F38" s="11">
        <v>6660</v>
      </c>
      <c r="G38" s="11">
        <v>6660</v>
      </c>
    </row>
    <row r="39" spans="1:7" x14ac:dyDescent="0.3">
      <c r="A39" s="15">
        <f t="shared" si="0"/>
        <v>38</v>
      </c>
      <c r="B39" s="11">
        <v>1140</v>
      </c>
      <c r="C39" s="11">
        <v>2280</v>
      </c>
      <c r="D39" s="11">
        <v>5700</v>
      </c>
      <c r="E39" s="11">
        <v>6840</v>
      </c>
      <c r="F39" s="11">
        <v>6840</v>
      </c>
      <c r="G39" s="11">
        <v>6840</v>
      </c>
    </row>
    <row r="40" spans="1:7" x14ac:dyDescent="0.3">
      <c r="A40" s="15">
        <f t="shared" si="0"/>
        <v>39</v>
      </c>
      <c r="B40" s="11">
        <v>1170</v>
      </c>
      <c r="C40" s="11">
        <v>2340</v>
      </c>
      <c r="D40" s="11">
        <v>5850</v>
      </c>
      <c r="E40" s="11">
        <v>7020</v>
      </c>
      <c r="F40" s="11">
        <v>7020</v>
      </c>
      <c r="G40" s="11">
        <v>7020</v>
      </c>
    </row>
    <row r="41" spans="1:7" x14ac:dyDescent="0.3">
      <c r="A41" s="15">
        <f t="shared" si="0"/>
        <v>40</v>
      </c>
      <c r="B41" s="11">
        <v>1200</v>
      </c>
      <c r="C41" s="11">
        <v>2400</v>
      </c>
      <c r="D41" s="11">
        <v>6000</v>
      </c>
      <c r="E41" s="11">
        <v>7200</v>
      </c>
      <c r="F41" s="11">
        <v>7200</v>
      </c>
      <c r="G41" s="11">
        <v>7200</v>
      </c>
    </row>
    <row r="42" spans="1:7" x14ac:dyDescent="0.3">
      <c r="A42" s="15">
        <f t="shared" si="0"/>
        <v>41</v>
      </c>
      <c r="B42" s="11">
        <v>1230</v>
      </c>
      <c r="C42" s="11">
        <v>2460</v>
      </c>
      <c r="D42" s="11">
        <v>6150</v>
      </c>
      <c r="E42" s="11">
        <v>7380</v>
      </c>
      <c r="F42" s="11">
        <v>7380</v>
      </c>
      <c r="G42" s="11">
        <v>7380</v>
      </c>
    </row>
    <row r="43" spans="1:7" x14ac:dyDescent="0.3">
      <c r="A43" s="15">
        <f t="shared" si="0"/>
        <v>42</v>
      </c>
      <c r="B43" s="11">
        <v>1260</v>
      </c>
      <c r="C43" s="11">
        <v>2520</v>
      </c>
      <c r="D43" s="11">
        <v>6300</v>
      </c>
      <c r="E43" s="11">
        <v>7560</v>
      </c>
      <c r="F43" s="11">
        <v>7560</v>
      </c>
      <c r="G43" s="11">
        <v>7560</v>
      </c>
    </row>
    <row r="44" spans="1:7" x14ac:dyDescent="0.3">
      <c r="A44" s="15">
        <f t="shared" si="0"/>
        <v>43</v>
      </c>
      <c r="B44" s="11">
        <v>1290</v>
      </c>
      <c r="C44" s="11">
        <v>2580</v>
      </c>
      <c r="D44" s="11">
        <v>6450</v>
      </c>
      <c r="E44" s="11">
        <v>7740</v>
      </c>
      <c r="F44" s="11">
        <v>7740</v>
      </c>
      <c r="G44" s="11">
        <v>7740</v>
      </c>
    </row>
    <row r="45" spans="1:7" x14ac:dyDescent="0.3">
      <c r="A45" s="15">
        <f t="shared" si="0"/>
        <v>44</v>
      </c>
      <c r="B45" s="11">
        <v>1320</v>
      </c>
      <c r="C45" s="11">
        <v>2640</v>
      </c>
      <c r="D45" s="11">
        <v>6600</v>
      </c>
      <c r="E45" s="11">
        <v>7920</v>
      </c>
      <c r="F45" s="11">
        <v>7920</v>
      </c>
      <c r="G45" s="11">
        <v>7920</v>
      </c>
    </row>
    <row r="46" spans="1:7" x14ac:dyDescent="0.3">
      <c r="A46" s="15">
        <f t="shared" si="0"/>
        <v>45</v>
      </c>
      <c r="B46" s="11">
        <v>1350</v>
      </c>
      <c r="C46" s="11">
        <v>2700</v>
      </c>
      <c r="D46" s="11">
        <v>6750</v>
      </c>
      <c r="E46" s="11">
        <v>8100</v>
      </c>
      <c r="F46" s="11">
        <v>8100</v>
      </c>
      <c r="G46" s="11">
        <v>8100</v>
      </c>
    </row>
    <row r="47" spans="1:7" x14ac:dyDescent="0.3">
      <c r="A47" s="15">
        <f t="shared" si="0"/>
        <v>46</v>
      </c>
      <c r="B47" s="11">
        <v>1380</v>
      </c>
      <c r="C47" s="11">
        <v>2760</v>
      </c>
      <c r="D47" s="11">
        <v>6900</v>
      </c>
      <c r="E47" s="11">
        <v>8280</v>
      </c>
      <c r="F47" s="11">
        <v>8280</v>
      </c>
      <c r="G47" s="11">
        <v>8280</v>
      </c>
    </row>
    <row r="48" spans="1:7" x14ac:dyDescent="0.3">
      <c r="A48" s="15">
        <f t="shared" si="0"/>
        <v>47</v>
      </c>
      <c r="B48" s="11">
        <v>1410</v>
      </c>
      <c r="C48" s="11">
        <v>2820</v>
      </c>
      <c r="D48" s="11">
        <v>7050</v>
      </c>
      <c r="E48" s="11">
        <v>8460</v>
      </c>
      <c r="F48" s="11">
        <v>8460</v>
      </c>
      <c r="G48" s="11">
        <v>8460</v>
      </c>
    </row>
    <row r="49" spans="1:7" x14ac:dyDescent="0.3">
      <c r="A49" s="15">
        <f t="shared" si="0"/>
        <v>48</v>
      </c>
      <c r="B49" s="11">
        <v>1440</v>
      </c>
      <c r="C49" s="11">
        <v>2880</v>
      </c>
      <c r="D49" s="11">
        <v>7200</v>
      </c>
      <c r="E49" s="11">
        <v>8640</v>
      </c>
      <c r="F49" s="11">
        <v>8640</v>
      </c>
      <c r="G49" s="11">
        <v>8640</v>
      </c>
    </row>
    <row r="50" spans="1:7" x14ac:dyDescent="0.3">
      <c r="A50" s="15">
        <f t="shared" si="0"/>
        <v>49</v>
      </c>
      <c r="B50" s="11">
        <v>1470</v>
      </c>
      <c r="C50" s="11">
        <v>2940</v>
      </c>
      <c r="D50" s="11">
        <v>7350</v>
      </c>
      <c r="E50" s="11">
        <v>8820</v>
      </c>
      <c r="F50" s="11">
        <v>8820</v>
      </c>
      <c r="G50" s="11">
        <v>8820</v>
      </c>
    </row>
    <row r="51" spans="1:7" ht="15" thickBot="1" x14ac:dyDescent="0.35">
      <c r="A51" s="207">
        <f t="shared" si="0"/>
        <v>50</v>
      </c>
      <c r="B51" s="11">
        <v>1500</v>
      </c>
      <c r="C51" s="11">
        <v>3000</v>
      </c>
      <c r="D51" s="11">
        <v>7500</v>
      </c>
      <c r="E51" s="11">
        <v>9000</v>
      </c>
      <c r="F51" s="11">
        <v>9000</v>
      </c>
      <c r="G51" s="11">
        <v>9000</v>
      </c>
    </row>
    <row r="52" spans="1:7" x14ac:dyDescent="0.3">
      <c r="A52" s="15"/>
      <c r="B52" s="11"/>
      <c r="C52" s="11"/>
      <c r="D52" s="11"/>
      <c r="E52" s="11"/>
      <c r="F52" s="11"/>
      <c r="G52" s="2"/>
    </row>
    <row r="53" spans="1:7" x14ac:dyDescent="0.3">
      <c r="A53" s="15"/>
      <c r="B53" s="11"/>
      <c r="C53" s="11"/>
      <c r="D53" s="11"/>
      <c r="E53" s="11"/>
      <c r="F53" s="11"/>
      <c r="G53" s="2"/>
    </row>
    <row r="54" spans="1:7" x14ac:dyDescent="0.3">
      <c r="A54" s="15"/>
      <c r="B54" s="11"/>
      <c r="C54" s="11"/>
      <c r="D54" s="11"/>
      <c r="E54" s="11"/>
      <c r="F54" s="11"/>
      <c r="G54" s="2"/>
    </row>
    <row r="55" spans="1:7" x14ac:dyDescent="0.3">
      <c r="A55" s="15"/>
      <c r="B55" s="11"/>
      <c r="C55" s="11"/>
      <c r="D55" s="11"/>
      <c r="E55" s="11"/>
      <c r="F55" s="11"/>
      <c r="G55" s="2"/>
    </row>
    <row r="56" spans="1:7" x14ac:dyDescent="0.3">
      <c r="A56" s="15"/>
      <c r="B56" s="11"/>
      <c r="C56" s="11"/>
      <c r="D56" s="11"/>
      <c r="E56" s="11"/>
      <c r="F56" s="11"/>
      <c r="G56" s="2"/>
    </row>
    <row r="57" spans="1:7" x14ac:dyDescent="0.3">
      <c r="A57" s="15"/>
      <c r="B57" s="11"/>
      <c r="C57" s="11"/>
      <c r="D57" s="11"/>
      <c r="E57" s="11"/>
      <c r="F57" s="11"/>
      <c r="G57" s="2"/>
    </row>
    <row r="58" spans="1:7" x14ac:dyDescent="0.3">
      <c r="A58" s="15"/>
      <c r="B58" s="11"/>
      <c r="C58" s="11"/>
      <c r="D58" s="11"/>
      <c r="E58" s="11"/>
      <c r="F58" s="11"/>
      <c r="G58" s="2"/>
    </row>
    <row r="59" spans="1:7" x14ac:dyDescent="0.3">
      <c r="A59" s="15"/>
      <c r="B59" s="11"/>
      <c r="C59" s="11"/>
      <c r="D59" s="11"/>
      <c r="E59" s="11"/>
      <c r="F59" s="11"/>
      <c r="G59" s="2"/>
    </row>
    <row r="60" spans="1:7" x14ac:dyDescent="0.3">
      <c r="A60" s="15"/>
      <c r="B60" s="11"/>
      <c r="C60" s="11"/>
      <c r="D60" s="11"/>
      <c r="E60" s="11"/>
      <c r="F60" s="11"/>
      <c r="G60" s="2"/>
    </row>
    <row r="61" spans="1:7" x14ac:dyDescent="0.3">
      <c r="A61" s="15"/>
      <c r="B61" s="11"/>
      <c r="C61" s="11"/>
      <c r="D61" s="11"/>
      <c r="E61" s="11"/>
      <c r="F61" s="11"/>
      <c r="G61" s="2"/>
    </row>
    <row r="62" spans="1:7" x14ac:dyDescent="0.3">
      <c r="A62" s="15"/>
      <c r="B62" s="11"/>
      <c r="C62" s="11"/>
      <c r="D62" s="11"/>
      <c r="E62" s="11"/>
      <c r="F62" s="11"/>
      <c r="G62" s="2"/>
    </row>
    <row r="63" spans="1:7" x14ac:dyDescent="0.3">
      <c r="A63" s="15"/>
      <c r="B63" s="11"/>
      <c r="C63" s="11"/>
      <c r="D63" s="11"/>
      <c r="E63" s="11"/>
      <c r="F63" s="11"/>
      <c r="G63" s="2"/>
    </row>
    <row r="64" spans="1:7" x14ac:dyDescent="0.3">
      <c r="A64" s="15"/>
      <c r="B64" s="11"/>
      <c r="C64" s="11"/>
      <c r="D64" s="11"/>
      <c r="E64" s="11"/>
      <c r="F64" s="11"/>
      <c r="G64" s="2"/>
    </row>
    <row r="65" spans="1:7" x14ac:dyDescent="0.3">
      <c r="A65" s="15"/>
      <c r="B65" s="11"/>
      <c r="C65" s="11"/>
      <c r="D65" s="11"/>
      <c r="E65" s="11"/>
      <c r="F65" s="11"/>
      <c r="G65" s="2"/>
    </row>
    <row r="66" spans="1:7" x14ac:dyDescent="0.3">
      <c r="A66" s="15"/>
      <c r="B66" s="11"/>
      <c r="C66" s="11"/>
      <c r="D66" s="11"/>
      <c r="E66" s="11"/>
      <c r="F66" s="11"/>
      <c r="G66" s="2"/>
    </row>
    <row r="67" spans="1:7" x14ac:dyDescent="0.3">
      <c r="A67" s="15"/>
      <c r="B67" s="11"/>
      <c r="C67" s="11"/>
      <c r="D67" s="11"/>
      <c r="E67" s="11"/>
      <c r="F67" s="11"/>
      <c r="G67" s="2"/>
    </row>
    <row r="68" spans="1:7" x14ac:dyDescent="0.3">
      <c r="A68" s="15"/>
      <c r="B68" s="11"/>
      <c r="C68" s="11"/>
      <c r="D68" s="11"/>
      <c r="E68" s="11"/>
      <c r="F68" s="11"/>
      <c r="G68" s="2"/>
    </row>
    <row r="69" spans="1:7" x14ac:dyDescent="0.3">
      <c r="A69" s="15"/>
      <c r="B69" s="11"/>
      <c r="C69" s="11"/>
      <c r="D69" s="11"/>
      <c r="E69" s="11"/>
      <c r="F69" s="11"/>
      <c r="G69" s="2"/>
    </row>
    <row r="70" spans="1:7" x14ac:dyDescent="0.3">
      <c r="A70" s="15"/>
      <c r="B70" s="11"/>
      <c r="C70" s="11"/>
      <c r="D70" s="11"/>
      <c r="E70" s="11"/>
      <c r="F70" s="11"/>
      <c r="G70" s="2"/>
    </row>
    <row r="71" spans="1:7" x14ac:dyDescent="0.3">
      <c r="A71" s="15"/>
      <c r="B71" s="11"/>
      <c r="C71" s="11"/>
      <c r="D71" s="11"/>
      <c r="E71" s="11"/>
      <c r="F71" s="11"/>
      <c r="G71" s="2"/>
    </row>
    <row r="72" spans="1:7" x14ac:dyDescent="0.3">
      <c r="A72" s="15"/>
      <c r="B72" s="11"/>
      <c r="C72" s="11"/>
      <c r="D72" s="11"/>
      <c r="E72" s="11"/>
      <c r="F72" s="11"/>
      <c r="G72" s="2"/>
    </row>
    <row r="73" spans="1:7" x14ac:dyDescent="0.3">
      <c r="A73" s="15"/>
      <c r="B73" s="11"/>
      <c r="C73" s="11"/>
      <c r="D73" s="11"/>
      <c r="E73" s="11"/>
      <c r="F73" s="11"/>
      <c r="G73" s="2"/>
    </row>
    <row r="74" spans="1:7" x14ac:dyDescent="0.3">
      <c r="A74" s="15"/>
      <c r="B74" s="11"/>
      <c r="C74" s="11"/>
      <c r="D74" s="11"/>
      <c r="E74" s="11"/>
      <c r="F74" s="11"/>
      <c r="G74" s="2"/>
    </row>
    <row r="75" spans="1:7" x14ac:dyDescent="0.3">
      <c r="A75" s="15"/>
      <c r="B75" s="11"/>
      <c r="C75" s="11"/>
      <c r="D75" s="11"/>
      <c r="E75" s="11"/>
      <c r="F75" s="11"/>
      <c r="G75" s="2"/>
    </row>
    <row r="76" spans="1:7" x14ac:dyDescent="0.3">
      <c r="A76" s="15"/>
      <c r="B76" s="11"/>
      <c r="C76" s="11"/>
      <c r="D76" s="11"/>
      <c r="E76" s="11"/>
      <c r="F76" s="11"/>
      <c r="G76" s="2"/>
    </row>
    <row r="77" spans="1:7" x14ac:dyDescent="0.3">
      <c r="A77" s="15"/>
      <c r="B77" s="11"/>
      <c r="C77" s="11"/>
      <c r="D77" s="11"/>
      <c r="E77" s="11"/>
      <c r="F77" s="11"/>
      <c r="G77" s="2"/>
    </row>
    <row r="78" spans="1:7" x14ac:dyDescent="0.3">
      <c r="A78" s="15"/>
      <c r="B78" s="11"/>
      <c r="C78" s="11"/>
      <c r="D78" s="11"/>
      <c r="E78" s="11"/>
      <c r="F78" s="11"/>
      <c r="G78" s="2"/>
    </row>
    <row r="79" spans="1:7" x14ac:dyDescent="0.3">
      <c r="A79" s="15"/>
      <c r="B79" s="11"/>
      <c r="C79" s="11"/>
      <c r="D79" s="11"/>
      <c r="E79" s="11"/>
      <c r="F79" s="11"/>
      <c r="G79" s="2"/>
    </row>
    <row r="80" spans="1:7" x14ac:dyDescent="0.3">
      <c r="A80" s="15"/>
      <c r="B80" s="11"/>
      <c r="C80" s="11"/>
      <c r="D80" s="11"/>
      <c r="E80" s="11"/>
      <c r="F80" s="11"/>
      <c r="G80" s="2"/>
    </row>
    <row r="81" spans="1:7" x14ac:dyDescent="0.3">
      <c r="A81" s="15"/>
      <c r="B81" s="11"/>
      <c r="C81" s="11"/>
      <c r="D81" s="11"/>
      <c r="E81" s="11"/>
      <c r="F81" s="11"/>
      <c r="G81" s="2"/>
    </row>
    <row r="82" spans="1:7" x14ac:dyDescent="0.3">
      <c r="A82" s="15"/>
      <c r="B82" s="11"/>
      <c r="C82" s="11"/>
      <c r="D82" s="11"/>
      <c r="E82" s="11"/>
      <c r="F82" s="11"/>
      <c r="G82" s="2"/>
    </row>
    <row r="83" spans="1:7" x14ac:dyDescent="0.3">
      <c r="A83" s="15"/>
      <c r="B83" s="11"/>
      <c r="C83" s="11"/>
      <c r="D83" s="11"/>
      <c r="E83" s="11"/>
      <c r="F83" s="11"/>
      <c r="G83" s="2"/>
    </row>
    <row r="84" spans="1:7" x14ac:dyDescent="0.3">
      <c r="A84" s="15"/>
      <c r="B84" s="11"/>
      <c r="C84" s="11"/>
      <c r="D84" s="11"/>
      <c r="E84" s="11"/>
      <c r="F84" s="11"/>
      <c r="G84" s="2"/>
    </row>
    <row r="85" spans="1:7" x14ac:dyDescent="0.3">
      <c r="A85" s="15"/>
      <c r="B85" s="11"/>
      <c r="C85" s="11"/>
      <c r="D85" s="11"/>
      <c r="E85" s="11"/>
      <c r="F85" s="11"/>
      <c r="G85" s="2"/>
    </row>
    <row r="86" spans="1:7" x14ac:dyDescent="0.3">
      <c r="A86" s="15"/>
      <c r="B86" s="11"/>
      <c r="C86" s="11"/>
      <c r="D86" s="11"/>
      <c r="E86" s="11"/>
      <c r="F86" s="11"/>
      <c r="G86" s="2"/>
    </row>
    <row r="87" spans="1:7" x14ac:dyDescent="0.3">
      <c r="A87" s="15"/>
      <c r="B87" s="11"/>
      <c r="C87" s="11"/>
      <c r="D87" s="11"/>
      <c r="E87" s="11"/>
      <c r="F87" s="11"/>
      <c r="G87" s="2"/>
    </row>
    <row r="88" spans="1:7" x14ac:dyDescent="0.3">
      <c r="A88" s="15"/>
      <c r="B88" s="11"/>
      <c r="C88" s="11"/>
      <c r="D88" s="11"/>
      <c r="E88" s="11"/>
      <c r="F88" s="11"/>
      <c r="G88" s="2"/>
    </row>
    <row r="89" spans="1:7" x14ac:dyDescent="0.3">
      <c r="A89" s="15"/>
      <c r="B89" s="11"/>
      <c r="C89" s="11"/>
      <c r="D89" s="11"/>
      <c r="E89" s="11"/>
      <c r="F89" s="11"/>
      <c r="G89" s="2"/>
    </row>
    <row r="90" spans="1:7" x14ac:dyDescent="0.3">
      <c r="A90" s="15"/>
      <c r="B90" s="11"/>
      <c r="C90" s="11"/>
      <c r="D90" s="11"/>
      <c r="E90" s="11"/>
      <c r="F90" s="11"/>
      <c r="G90" s="2"/>
    </row>
    <row r="91" spans="1:7" x14ac:dyDescent="0.3">
      <c r="A91" s="15"/>
      <c r="B91" s="11"/>
      <c r="C91" s="11"/>
      <c r="D91" s="11"/>
      <c r="E91" s="11"/>
      <c r="F91" s="11"/>
      <c r="G91" s="2"/>
    </row>
    <row r="92" spans="1:7" x14ac:dyDescent="0.3">
      <c r="A92" s="15"/>
      <c r="B92" s="11"/>
      <c r="C92" s="11"/>
      <c r="D92" s="11"/>
      <c r="E92" s="11"/>
      <c r="F92" s="11"/>
      <c r="G92" s="2"/>
    </row>
    <row r="93" spans="1:7" x14ac:dyDescent="0.3">
      <c r="A93" s="15"/>
      <c r="B93" s="11"/>
      <c r="C93" s="11"/>
      <c r="D93" s="11"/>
      <c r="E93" s="11"/>
      <c r="F93" s="11"/>
      <c r="G93" s="2"/>
    </row>
    <row r="94" spans="1:7" x14ac:dyDescent="0.3">
      <c r="A94" s="15"/>
      <c r="B94" s="11"/>
      <c r="C94" s="11"/>
      <c r="D94" s="11"/>
      <c r="E94" s="11"/>
      <c r="F94" s="11"/>
      <c r="G94" s="2"/>
    </row>
    <row r="95" spans="1:7" x14ac:dyDescent="0.3">
      <c r="A95" s="15"/>
      <c r="B95" s="11"/>
      <c r="C95" s="11"/>
      <c r="D95" s="11"/>
      <c r="E95" s="11"/>
      <c r="F95" s="11"/>
      <c r="G95" s="2"/>
    </row>
    <row r="96" spans="1:7" x14ac:dyDescent="0.3">
      <c r="A96" s="15"/>
      <c r="B96" s="11"/>
      <c r="C96" s="11"/>
      <c r="D96" s="11"/>
      <c r="E96" s="11"/>
      <c r="F96" s="11"/>
      <c r="G96" s="2"/>
    </row>
    <row r="97" spans="1:7" x14ac:dyDescent="0.3">
      <c r="A97" s="15"/>
      <c r="B97" s="11"/>
      <c r="C97" s="11"/>
      <c r="D97" s="11"/>
      <c r="E97" s="11"/>
      <c r="F97" s="11"/>
      <c r="G97" s="2"/>
    </row>
    <row r="98" spans="1:7" x14ac:dyDescent="0.3">
      <c r="A98" s="15"/>
      <c r="B98" s="11"/>
      <c r="C98" s="11"/>
      <c r="D98" s="11"/>
      <c r="E98" s="11"/>
      <c r="F98" s="11"/>
      <c r="G98" s="2"/>
    </row>
    <row r="99" spans="1:7" x14ac:dyDescent="0.3">
      <c r="A99" s="15"/>
      <c r="B99" s="11"/>
      <c r="C99" s="11"/>
      <c r="D99" s="11"/>
      <c r="E99" s="11"/>
      <c r="F99" s="11"/>
      <c r="G99" s="2"/>
    </row>
    <row r="100" spans="1:7" x14ac:dyDescent="0.3">
      <c r="A100" s="15"/>
      <c r="B100" s="11"/>
      <c r="C100" s="11"/>
      <c r="D100" s="11"/>
      <c r="E100" s="11"/>
      <c r="F100" s="11"/>
      <c r="G100" s="2"/>
    </row>
    <row r="101" spans="1:7" x14ac:dyDescent="0.3">
      <c r="A101" s="15"/>
      <c r="B101" s="11"/>
      <c r="C101" s="11"/>
      <c r="D101" s="11"/>
      <c r="E101" s="11"/>
      <c r="F101" s="11"/>
      <c r="G101" s="2"/>
    </row>
    <row r="102" spans="1:7" x14ac:dyDescent="0.3">
      <c r="A102" s="15"/>
      <c r="B102" s="11"/>
      <c r="C102" s="11"/>
      <c r="D102" s="11"/>
      <c r="E102" s="11"/>
      <c r="F102" s="11"/>
      <c r="G102" s="2"/>
    </row>
    <row r="103" spans="1:7" x14ac:dyDescent="0.3">
      <c r="A103" s="15"/>
      <c r="B103" s="11"/>
      <c r="C103" s="11"/>
      <c r="D103" s="11"/>
      <c r="E103" s="11"/>
      <c r="F103" s="11"/>
      <c r="G103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8DD9-706D-4810-B906-0C6E814DDA53}">
  <dimension ref="A1:G103"/>
  <sheetViews>
    <sheetView workbookViewId="0">
      <selection activeCell="G3" sqref="G3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3.21875" bestFit="1" customWidth="1"/>
    <col min="4" max="4" width="12.5546875" bestFit="1" customWidth="1"/>
    <col min="5" max="5" width="13.21875" bestFit="1" customWidth="1"/>
  </cols>
  <sheetData>
    <row r="1" spans="1:7" ht="43.2" x14ac:dyDescent="0.3">
      <c r="A1" s="105" t="s">
        <v>5</v>
      </c>
      <c r="B1" s="106" t="s">
        <v>1</v>
      </c>
      <c r="C1" s="106" t="s">
        <v>2</v>
      </c>
      <c r="D1" s="106" t="s">
        <v>3</v>
      </c>
      <c r="E1" s="106" t="s">
        <v>4</v>
      </c>
      <c r="F1" s="107" t="s">
        <v>8</v>
      </c>
      <c r="G1" s="107" t="s">
        <v>7</v>
      </c>
    </row>
    <row r="2" spans="1:7" x14ac:dyDescent="0.3">
      <c r="A2" s="148">
        <v>1</v>
      </c>
      <c r="B2" s="11" cm="1">
        <f t="array" ref="B2:B51">VLOOKUP(A2:A51, WITHINCITY!B4:J53,9,0)</f>
        <v>54</v>
      </c>
      <c r="C2" s="11" cm="1">
        <f t="array" ref="C2:C51">VLOOKUP(A2:A51, WITHINSTATE!B4:J53,9,0)</f>
        <v>59</v>
      </c>
      <c r="D2" s="11" cm="1">
        <f t="array" ref="D2:D51">VLOOKUP(A2:A51, WITHINZONE!B4:J53,9,0)</f>
        <v>59</v>
      </c>
      <c r="E2" s="11" cm="1">
        <f t="array" ref="E2:E51">VLOOKUP(A2:A51, RESTOFINDIA!B4:J53,9,0)</f>
        <v>75.25</v>
      </c>
      <c r="F2" s="108" cm="1">
        <f t="array" ref="F2:F51">VLOOKUP(A2:A51, 'METRO TO METRO'!B4:J53,9,0)</f>
        <v>71.25</v>
      </c>
      <c r="G2" s="2" cm="1">
        <f t="array" ref="G2:G51">VLOOKUP(A2:A51, SPECIALDESTINATION!B4:J53,9,0)</f>
        <v>90.25</v>
      </c>
    </row>
    <row r="3" spans="1:7" x14ac:dyDescent="0.3">
      <c r="A3" s="15">
        <f>A2 + 1</f>
        <v>2</v>
      </c>
      <c r="B3" s="11">
        <v>105.5</v>
      </c>
      <c r="C3" s="11">
        <v>115.5</v>
      </c>
      <c r="D3" s="11">
        <v>115.5</v>
      </c>
      <c r="E3" s="11">
        <v>146.75</v>
      </c>
      <c r="F3" s="11">
        <v>138.75</v>
      </c>
      <c r="G3" s="2">
        <v>176.75</v>
      </c>
    </row>
    <row r="4" spans="1:7" x14ac:dyDescent="0.3">
      <c r="A4" s="15">
        <f t="shared" ref="A4:A51" si="0">A3 + 1</f>
        <v>3</v>
      </c>
      <c r="B4" s="11">
        <v>157</v>
      </c>
      <c r="C4" s="11">
        <v>172</v>
      </c>
      <c r="D4" s="11">
        <v>172</v>
      </c>
      <c r="E4" s="11">
        <v>218.25</v>
      </c>
      <c r="F4" s="11">
        <v>206.25</v>
      </c>
      <c r="G4" s="2">
        <v>263.25</v>
      </c>
    </row>
    <row r="5" spans="1:7" x14ac:dyDescent="0.3">
      <c r="A5" s="15">
        <f t="shared" si="0"/>
        <v>4</v>
      </c>
      <c r="B5" s="11">
        <v>208.5</v>
      </c>
      <c r="C5" s="11">
        <v>228.5</v>
      </c>
      <c r="D5" s="11">
        <v>228.5</v>
      </c>
      <c r="E5" s="11">
        <v>289.75</v>
      </c>
      <c r="F5" s="11">
        <v>273.75</v>
      </c>
      <c r="G5" s="2">
        <v>349.75</v>
      </c>
    </row>
    <row r="6" spans="1:7" x14ac:dyDescent="0.3">
      <c r="A6" s="15">
        <f t="shared" si="0"/>
        <v>5</v>
      </c>
      <c r="B6" s="11">
        <v>260</v>
      </c>
      <c r="C6" s="11">
        <v>285</v>
      </c>
      <c r="D6" s="11">
        <v>285</v>
      </c>
      <c r="E6" s="11">
        <v>361.25</v>
      </c>
      <c r="F6" s="11">
        <v>341.25</v>
      </c>
      <c r="G6" s="2">
        <v>436.25</v>
      </c>
    </row>
    <row r="7" spans="1:7" x14ac:dyDescent="0.3">
      <c r="A7" s="15">
        <f t="shared" si="0"/>
        <v>6</v>
      </c>
      <c r="B7" s="11">
        <v>311.5</v>
      </c>
      <c r="C7" s="11">
        <v>341.5</v>
      </c>
      <c r="D7" s="11">
        <v>341.5</v>
      </c>
      <c r="E7" s="11">
        <v>432.75</v>
      </c>
      <c r="F7" s="11">
        <v>408.75</v>
      </c>
      <c r="G7" s="2">
        <v>522.75</v>
      </c>
    </row>
    <row r="8" spans="1:7" x14ac:dyDescent="0.3">
      <c r="A8" s="15">
        <f t="shared" si="0"/>
        <v>7</v>
      </c>
      <c r="B8" s="11">
        <v>363</v>
      </c>
      <c r="C8" s="11">
        <v>398</v>
      </c>
      <c r="D8" s="11">
        <v>398</v>
      </c>
      <c r="E8" s="11">
        <v>504.25</v>
      </c>
      <c r="F8" s="11">
        <v>476.25</v>
      </c>
      <c r="G8" s="2">
        <v>609.25</v>
      </c>
    </row>
    <row r="9" spans="1:7" x14ac:dyDescent="0.3">
      <c r="A9" s="15">
        <f t="shared" si="0"/>
        <v>8</v>
      </c>
      <c r="B9" s="11">
        <v>414.5</v>
      </c>
      <c r="C9" s="11">
        <v>454.5</v>
      </c>
      <c r="D9" s="11">
        <v>454.5</v>
      </c>
      <c r="E9" s="11">
        <v>575.75</v>
      </c>
      <c r="F9" s="11">
        <v>543.75</v>
      </c>
      <c r="G9" s="2">
        <v>695.75</v>
      </c>
    </row>
    <row r="10" spans="1:7" x14ac:dyDescent="0.3">
      <c r="A10" s="15">
        <f t="shared" si="0"/>
        <v>9</v>
      </c>
      <c r="B10" s="11">
        <v>466</v>
      </c>
      <c r="C10" s="11">
        <v>511</v>
      </c>
      <c r="D10" s="11">
        <v>511</v>
      </c>
      <c r="E10" s="11">
        <v>647.25</v>
      </c>
      <c r="F10" s="11">
        <v>611.25</v>
      </c>
      <c r="G10" s="2">
        <v>782.25</v>
      </c>
    </row>
    <row r="11" spans="1:7" x14ac:dyDescent="0.3">
      <c r="A11" s="15">
        <f t="shared" si="0"/>
        <v>10</v>
      </c>
      <c r="B11" s="11">
        <v>517.5</v>
      </c>
      <c r="C11" s="11">
        <v>567.5</v>
      </c>
      <c r="D11" s="11">
        <v>567.5</v>
      </c>
      <c r="E11" s="11">
        <v>718.75</v>
      </c>
      <c r="F11" s="11">
        <v>678.75</v>
      </c>
      <c r="G11" s="2">
        <v>868.75</v>
      </c>
    </row>
    <row r="12" spans="1:7" x14ac:dyDescent="0.3">
      <c r="A12" s="15">
        <f t="shared" si="0"/>
        <v>11</v>
      </c>
      <c r="B12" s="11">
        <v>569</v>
      </c>
      <c r="C12" s="11">
        <v>624</v>
      </c>
      <c r="D12" s="11">
        <v>624</v>
      </c>
      <c r="E12" s="11">
        <v>790.25</v>
      </c>
      <c r="F12" s="11">
        <v>746.25</v>
      </c>
      <c r="G12" s="2">
        <v>955.25</v>
      </c>
    </row>
    <row r="13" spans="1:7" x14ac:dyDescent="0.3">
      <c r="A13" s="15">
        <f t="shared" si="0"/>
        <v>12</v>
      </c>
      <c r="B13" s="11">
        <v>620.5</v>
      </c>
      <c r="C13" s="11">
        <v>680.5</v>
      </c>
      <c r="D13" s="11">
        <v>680.5</v>
      </c>
      <c r="E13" s="11">
        <v>861.75</v>
      </c>
      <c r="F13" s="11">
        <v>813.75</v>
      </c>
      <c r="G13" s="2">
        <v>1041.75</v>
      </c>
    </row>
    <row r="14" spans="1:7" x14ac:dyDescent="0.3">
      <c r="A14" s="15">
        <f t="shared" si="0"/>
        <v>13</v>
      </c>
      <c r="B14" s="11">
        <v>672</v>
      </c>
      <c r="C14" s="11">
        <v>737</v>
      </c>
      <c r="D14" s="11">
        <v>737</v>
      </c>
      <c r="E14" s="11">
        <v>933.25</v>
      </c>
      <c r="F14" s="11">
        <v>881.25</v>
      </c>
      <c r="G14" s="2">
        <v>1128.25</v>
      </c>
    </row>
    <row r="15" spans="1:7" x14ac:dyDescent="0.3">
      <c r="A15" s="15">
        <f t="shared" si="0"/>
        <v>14</v>
      </c>
      <c r="B15" s="11">
        <v>723.5</v>
      </c>
      <c r="C15" s="11">
        <v>793.5</v>
      </c>
      <c r="D15" s="11">
        <v>793.5</v>
      </c>
      <c r="E15" s="11">
        <v>1004.75</v>
      </c>
      <c r="F15" s="11">
        <v>948.75</v>
      </c>
      <c r="G15" s="2">
        <v>1214.75</v>
      </c>
    </row>
    <row r="16" spans="1:7" x14ac:dyDescent="0.3">
      <c r="A16" s="15">
        <f t="shared" si="0"/>
        <v>15</v>
      </c>
      <c r="B16" s="11">
        <v>775</v>
      </c>
      <c r="C16" s="11">
        <v>850</v>
      </c>
      <c r="D16" s="11">
        <v>850</v>
      </c>
      <c r="E16" s="11">
        <v>1076.25</v>
      </c>
      <c r="F16" s="11">
        <v>1016.25</v>
      </c>
      <c r="G16" s="2">
        <v>1301.25</v>
      </c>
    </row>
    <row r="17" spans="1:7" x14ac:dyDescent="0.3">
      <c r="A17" s="15">
        <f t="shared" si="0"/>
        <v>16</v>
      </c>
      <c r="B17" s="11">
        <v>826.5</v>
      </c>
      <c r="C17" s="11">
        <v>906.5</v>
      </c>
      <c r="D17" s="11">
        <v>906.5</v>
      </c>
      <c r="E17" s="11">
        <v>1147.75</v>
      </c>
      <c r="F17" s="11">
        <v>1083.75</v>
      </c>
      <c r="G17" s="2">
        <v>1387.75</v>
      </c>
    </row>
    <row r="18" spans="1:7" x14ac:dyDescent="0.3">
      <c r="A18" s="15">
        <f t="shared" si="0"/>
        <v>17</v>
      </c>
      <c r="B18" s="11">
        <v>878</v>
      </c>
      <c r="C18" s="11">
        <v>963</v>
      </c>
      <c r="D18" s="11">
        <v>963</v>
      </c>
      <c r="E18" s="11">
        <v>1219.25</v>
      </c>
      <c r="F18" s="11">
        <v>1151.25</v>
      </c>
      <c r="G18" s="2">
        <v>1474.25</v>
      </c>
    </row>
    <row r="19" spans="1:7" x14ac:dyDescent="0.3">
      <c r="A19" s="15">
        <f t="shared" si="0"/>
        <v>18</v>
      </c>
      <c r="B19" s="11">
        <v>929.5</v>
      </c>
      <c r="C19" s="11">
        <v>1019.5</v>
      </c>
      <c r="D19" s="11">
        <v>1019.5</v>
      </c>
      <c r="E19" s="11">
        <v>1290.75</v>
      </c>
      <c r="F19" s="11">
        <v>1218.75</v>
      </c>
      <c r="G19" s="2">
        <v>1560.75</v>
      </c>
    </row>
    <row r="20" spans="1:7" x14ac:dyDescent="0.3">
      <c r="A20" s="15">
        <f t="shared" si="0"/>
        <v>19</v>
      </c>
      <c r="B20" s="11">
        <v>981</v>
      </c>
      <c r="C20" s="11">
        <v>1076</v>
      </c>
      <c r="D20" s="11">
        <v>1076</v>
      </c>
      <c r="E20" s="11">
        <v>1362.25</v>
      </c>
      <c r="F20" s="11">
        <v>1286.25</v>
      </c>
      <c r="G20" s="2">
        <v>1647.25</v>
      </c>
    </row>
    <row r="21" spans="1:7" x14ac:dyDescent="0.3">
      <c r="A21" s="15">
        <f t="shared" si="0"/>
        <v>20</v>
      </c>
      <c r="B21" s="11">
        <v>1032.5</v>
      </c>
      <c r="C21" s="11">
        <v>1132.5</v>
      </c>
      <c r="D21" s="11">
        <v>1132.5</v>
      </c>
      <c r="E21" s="11">
        <v>1433.75</v>
      </c>
      <c r="F21" s="11">
        <v>1353.75</v>
      </c>
      <c r="G21" s="2">
        <v>1733.75</v>
      </c>
    </row>
    <row r="22" spans="1:7" x14ac:dyDescent="0.3">
      <c r="A22" s="15">
        <f t="shared" si="0"/>
        <v>21</v>
      </c>
      <c r="B22" s="11">
        <v>1084</v>
      </c>
      <c r="C22" s="11">
        <v>1189</v>
      </c>
      <c r="D22" s="11">
        <v>1189</v>
      </c>
      <c r="E22" s="11">
        <v>1505.25</v>
      </c>
      <c r="F22" s="11">
        <v>1421.25</v>
      </c>
      <c r="G22" s="2">
        <v>1820.25</v>
      </c>
    </row>
    <row r="23" spans="1:7" x14ac:dyDescent="0.3">
      <c r="A23" s="15">
        <f t="shared" si="0"/>
        <v>22</v>
      </c>
      <c r="B23" s="11">
        <v>1135.5</v>
      </c>
      <c r="C23" s="11">
        <v>1245.5</v>
      </c>
      <c r="D23" s="11">
        <v>1245.5</v>
      </c>
      <c r="E23" s="11">
        <v>1576.75</v>
      </c>
      <c r="F23" s="11">
        <v>1488.75</v>
      </c>
      <c r="G23" s="2">
        <v>1906.75</v>
      </c>
    </row>
    <row r="24" spans="1:7" x14ac:dyDescent="0.3">
      <c r="A24" s="15">
        <f t="shared" si="0"/>
        <v>23</v>
      </c>
      <c r="B24" s="11">
        <v>1187</v>
      </c>
      <c r="C24" s="11">
        <v>1302</v>
      </c>
      <c r="D24" s="11">
        <v>1302</v>
      </c>
      <c r="E24" s="11">
        <v>1648.25</v>
      </c>
      <c r="F24" s="11">
        <v>1556.25</v>
      </c>
      <c r="G24" s="2">
        <v>1993.25</v>
      </c>
    </row>
    <row r="25" spans="1:7" x14ac:dyDescent="0.3">
      <c r="A25" s="15">
        <f t="shared" si="0"/>
        <v>24</v>
      </c>
      <c r="B25" s="11">
        <v>1238.5</v>
      </c>
      <c r="C25" s="11">
        <v>1358.5</v>
      </c>
      <c r="D25" s="11">
        <v>1358.5</v>
      </c>
      <c r="E25" s="11">
        <v>1719.75</v>
      </c>
      <c r="F25" s="11">
        <v>1623.75</v>
      </c>
      <c r="G25" s="2">
        <v>2079.75</v>
      </c>
    </row>
    <row r="26" spans="1:7" x14ac:dyDescent="0.3">
      <c r="A26" s="15">
        <f t="shared" si="0"/>
        <v>25</v>
      </c>
      <c r="B26" s="11">
        <v>1290</v>
      </c>
      <c r="C26" s="11">
        <v>1415</v>
      </c>
      <c r="D26" s="11">
        <v>1415</v>
      </c>
      <c r="E26" s="11">
        <v>1791.25</v>
      </c>
      <c r="F26" s="11">
        <v>1691.25</v>
      </c>
      <c r="G26" s="2">
        <v>2166.25</v>
      </c>
    </row>
    <row r="27" spans="1:7" x14ac:dyDescent="0.3">
      <c r="A27" s="15">
        <f t="shared" si="0"/>
        <v>26</v>
      </c>
      <c r="B27" s="11">
        <v>1341.5</v>
      </c>
      <c r="C27" s="11">
        <v>1471.5</v>
      </c>
      <c r="D27" s="11">
        <v>1471.5</v>
      </c>
      <c r="E27" s="11">
        <v>1862.75</v>
      </c>
      <c r="F27" s="11">
        <v>1758.75</v>
      </c>
      <c r="G27" s="2">
        <v>2252.75</v>
      </c>
    </row>
    <row r="28" spans="1:7" x14ac:dyDescent="0.3">
      <c r="A28" s="15">
        <f t="shared" si="0"/>
        <v>27</v>
      </c>
      <c r="B28" s="11">
        <v>1393</v>
      </c>
      <c r="C28" s="11">
        <v>1528</v>
      </c>
      <c r="D28" s="11">
        <v>1528</v>
      </c>
      <c r="E28" s="11">
        <v>1934.25</v>
      </c>
      <c r="F28" s="11">
        <v>1826.25</v>
      </c>
      <c r="G28" s="2">
        <v>2339.25</v>
      </c>
    </row>
    <row r="29" spans="1:7" x14ac:dyDescent="0.3">
      <c r="A29" s="15">
        <f t="shared" si="0"/>
        <v>28</v>
      </c>
      <c r="B29" s="11">
        <v>1444.5</v>
      </c>
      <c r="C29" s="11">
        <v>1584.5</v>
      </c>
      <c r="D29" s="11">
        <v>1584.5</v>
      </c>
      <c r="E29" s="11">
        <v>2005.75</v>
      </c>
      <c r="F29" s="11">
        <v>1893.75</v>
      </c>
      <c r="G29" s="2">
        <v>2425.75</v>
      </c>
    </row>
    <row r="30" spans="1:7" x14ac:dyDescent="0.3">
      <c r="A30" s="15">
        <f t="shared" si="0"/>
        <v>29</v>
      </c>
      <c r="B30" s="11">
        <v>1496</v>
      </c>
      <c r="C30" s="11">
        <v>1641</v>
      </c>
      <c r="D30" s="11">
        <v>1641</v>
      </c>
      <c r="E30" s="11">
        <v>2077.25</v>
      </c>
      <c r="F30" s="11">
        <v>1961.25</v>
      </c>
      <c r="G30" s="2">
        <v>2512.25</v>
      </c>
    </row>
    <row r="31" spans="1:7" x14ac:dyDescent="0.3">
      <c r="A31" s="15">
        <f t="shared" si="0"/>
        <v>30</v>
      </c>
      <c r="B31" s="11">
        <v>1547.5</v>
      </c>
      <c r="C31" s="11">
        <v>1697.5</v>
      </c>
      <c r="D31" s="11">
        <v>1697.5</v>
      </c>
      <c r="E31" s="11">
        <v>2148.75</v>
      </c>
      <c r="F31" s="11">
        <v>2028.75</v>
      </c>
      <c r="G31" s="2">
        <v>2598.75</v>
      </c>
    </row>
    <row r="32" spans="1:7" x14ac:dyDescent="0.3">
      <c r="A32" s="15">
        <f t="shared" si="0"/>
        <v>31</v>
      </c>
      <c r="B32" s="11">
        <v>1599</v>
      </c>
      <c r="C32" s="11">
        <v>1754</v>
      </c>
      <c r="D32" s="11">
        <v>1754</v>
      </c>
      <c r="E32" s="11">
        <v>2220.25</v>
      </c>
      <c r="F32" s="11">
        <v>2096.25</v>
      </c>
      <c r="G32" s="2">
        <v>2685.25</v>
      </c>
    </row>
    <row r="33" spans="1:7" x14ac:dyDescent="0.3">
      <c r="A33" s="15">
        <f t="shared" si="0"/>
        <v>32</v>
      </c>
      <c r="B33" s="11">
        <v>1650.5</v>
      </c>
      <c r="C33" s="11">
        <v>1810.5</v>
      </c>
      <c r="D33" s="11">
        <v>1810.5</v>
      </c>
      <c r="E33" s="11">
        <v>2291.75</v>
      </c>
      <c r="F33" s="11">
        <v>2163.75</v>
      </c>
      <c r="G33" s="2">
        <v>2771.75</v>
      </c>
    </row>
    <row r="34" spans="1:7" x14ac:dyDescent="0.3">
      <c r="A34" s="15">
        <f t="shared" si="0"/>
        <v>33</v>
      </c>
      <c r="B34" s="11">
        <v>1702</v>
      </c>
      <c r="C34" s="11">
        <v>1867</v>
      </c>
      <c r="D34" s="11">
        <v>1867</v>
      </c>
      <c r="E34" s="11">
        <v>2363.25</v>
      </c>
      <c r="F34" s="11">
        <v>2231.25</v>
      </c>
      <c r="G34" s="2">
        <v>2858.25</v>
      </c>
    </row>
    <row r="35" spans="1:7" x14ac:dyDescent="0.3">
      <c r="A35" s="15">
        <f t="shared" si="0"/>
        <v>34</v>
      </c>
      <c r="B35" s="11">
        <v>1753.5</v>
      </c>
      <c r="C35" s="11">
        <v>1923.5</v>
      </c>
      <c r="D35" s="11">
        <v>1923.5</v>
      </c>
      <c r="E35" s="11">
        <v>2434.75</v>
      </c>
      <c r="F35" s="11">
        <v>2298.75</v>
      </c>
      <c r="G35" s="2">
        <v>2944.75</v>
      </c>
    </row>
    <row r="36" spans="1:7" x14ac:dyDescent="0.3">
      <c r="A36" s="15">
        <f t="shared" si="0"/>
        <v>35</v>
      </c>
      <c r="B36" s="11">
        <v>1805</v>
      </c>
      <c r="C36" s="11">
        <v>1980</v>
      </c>
      <c r="D36" s="11">
        <v>1980</v>
      </c>
      <c r="E36" s="11">
        <v>2506.25</v>
      </c>
      <c r="F36" s="11">
        <v>2366.25</v>
      </c>
      <c r="G36" s="2">
        <v>3031.25</v>
      </c>
    </row>
    <row r="37" spans="1:7" x14ac:dyDescent="0.3">
      <c r="A37" s="15">
        <f t="shared" si="0"/>
        <v>36</v>
      </c>
      <c r="B37" s="11">
        <v>1856.5</v>
      </c>
      <c r="C37" s="11">
        <v>2036.5</v>
      </c>
      <c r="D37" s="11">
        <v>2036.5</v>
      </c>
      <c r="E37" s="11">
        <v>2577.75</v>
      </c>
      <c r="F37" s="11">
        <v>2433.75</v>
      </c>
      <c r="G37" s="2">
        <v>3117.75</v>
      </c>
    </row>
    <row r="38" spans="1:7" x14ac:dyDescent="0.3">
      <c r="A38" s="15">
        <f t="shared" si="0"/>
        <v>37</v>
      </c>
      <c r="B38" s="11">
        <v>1908</v>
      </c>
      <c r="C38" s="11">
        <v>2093</v>
      </c>
      <c r="D38" s="11">
        <v>2093</v>
      </c>
      <c r="E38" s="11">
        <v>2649.25</v>
      </c>
      <c r="F38" s="11">
        <v>2501.25</v>
      </c>
      <c r="G38" s="2">
        <v>3204.25</v>
      </c>
    </row>
    <row r="39" spans="1:7" x14ac:dyDescent="0.3">
      <c r="A39" s="15">
        <f t="shared" si="0"/>
        <v>38</v>
      </c>
      <c r="B39" s="11">
        <v>1959.5</v>
      </c>
      <c r="C39" s="11">
        <v>2149.5</v>
      </c>
      <c r="D39" s="11">
        <v>2149.5</v>
      </c>
      <c r="E39" s="11">
        <v>2720.75</v>
      </c>
      <c r="F39" s="11">
        <v>2568.75</v>
      </c>
      <c r="G39" s="2">
        <v>3290.75</v>
      </c>
    </row>
    <row r="40" spans="1:7" x14ac:dyDescent="0.3">
      <c r="A40" s="15">
        <f t="shared" si="0"/>
        <v>39</v>
      </c>
      <c r="B40" s="11">
        <v>2011</v>
      </c>
      <c r="C40" s="11">
        <v>2206</v>
      </c>
      <c r="D40" s="11">
        <v>2206</v>
      </c>
      <c r="E40" s="11">
        <v>2792.25</v>
      </c>
      <c r="F40" s="11">
        <v>2636.25</v>
      </c>
      <c r="G40" s="2">
        <v>3377.25</v>
      </c>
    </row>
    <row r="41" spans="1:7" x14ac:dyDescent="0.3">
      <c r="A41" s="15">
        <f t="shared" si="0"/>
        <v>40</v>
      </c>
      <c r="B41" s="11">
        <v>2062.5</v>
      </c>
      <c r="C41" s="11">
        <v>2262.5</v>
      </c>
      <c r="D41" s="11">
        <v>2262.5</v>
      </c>
      <c r="E41" s="11">
        <v>2863.75</v>
      </c>
      <c r="F41" s="11">
        <v>2703.75</v>
      </c>
      <c r="G41" s="2">
        <v>3463.75</v>
      </c>
    </row>
    <row r="42" spans="1:7" x14ac:dyDescent="0.3">
      <c r="A42" s="15">
        <f t="shared" si="0"/>
        <v>41</v>
      </c>
      <c r="B42" s="11">
        <v>2114</v>
      </c>
      <c r="C42" s="11">
        <v>2319</v>
      </c>
      <c r="D42" s="11">
        <v>2319</v>
      </c>
      <c r="E42" s="11">
        <v>2935.25</v>
      </c>
      <c r="F42" s="11">
        <v>2771.25</v>
      </c>
      <c r="G42" s="2">
        <v>3550.25</v>
      </c>
    </row>
    <row r="43" spans="1:7" x14ac:dyDescent="0.3">
      <c r="A43" s="15">
        <f t="shared" si="0"/>
        <v>42</v>
      </c>
      <c r="B43" s="11">
        <v>2165.5</v>
      </c>
      <c r="C43" s="11">
        <v>2375.5</v>
      </c>
      <c r="D43" s="11">
        <v>2375.5</v>
      </c>
      <c r="E43" s="11">
        <v>3006.75</v>
      </c>
      <c r="F43" s="11">
        <v>2838.75</v>
      </c>
      <c r="G43" s="2">
        <v>3636.75</v>
      </c>
    </row>
    <row r="44" spans="1:7" x14ac:dyDescent="0.3">
      <c r="A44" s="15">
        <f t="shared" si="0"/>
        <v>43</v>
      </c>
      <c r="B44" s="11">
        <v>2217</v>
      </c>
      <c r="C44" s="11">
        <v>2432</v>
      </c>
      <c r="D44" s="11">
        <v>2432</v>
      </c>
      <c r="E44" s="11">
        <v>3078.25</v>
      </c>
      <c r="F44" s="11">
        <v>2906.25</v>
      </c>
      <c r="G44" s="2">
        <v>3723.25</v>
      </c>
    </row>
    <row r="45" spans="1:7" x14ac:dyDescent="0.3">
      <c r="A45" s="15">
        <f t="shared" si="0"/>
        <v>44</v>
      </c>
      <c r="B45" s="11">
        <v>2268.5</v>
      </c>
      <c r="C45" s="11">
        <v>2488.5</v>
      </c>
      <c r="D45" s="11">
        <v>2488.5</v>
      </c>
      <c r="E45" s="11">
        <v>3149.75</v>
      </c>
      <c r="F45" s="11">
        <v>2973.75</v>
      </c>
      <c r="G45" s="2">
        <v>3809.75</v>
      </c>
    </row>
    <row r="46" spans="1:7" x14ac:dyDescent="0.3">
      <c r="A46" s="15">
        <f t="shared" si="0"/>
        <v>45</v>
      </c>
      <c r="B46" s="11">
        <v>2320</v>
      </c>
      <c r="C46" s="11">
        <v>2545</v>
      </c>
      <c r="D46" s="11">
        <v>2545</v>
      </c>
      <c r="E46" s="11">
        <v>3221.25</v>
      </c>
      <c r="F46" s="11">
        <v>3041.25</v>
      </c>
      <c r="G46" s="2">
        <v>3896.25</v>
      </c>
    </row>
    <row r="47" spans="1:7" x14ac:dyDescent="0.3">
      <c r="A47" s="15">
        <f t="shared" si="0"/>
        <v>46</v>
      </c>
      <c r="B47" s="11">
        <v>2371.5</v>
      </c>
      <c r="C47" s="11">
        <v>2601.5</v>
      </c>
      <c r="D47" s="11">
        <v>2601.5</v>
      </c>
      <c r="E47" s="11">
        <v>3292.75</v>
      </c>
      <c r="F47" s="11">
        <v>3108.75</v>
      </c>
      <c r="G47" s="2">
        <v>3982.75</v>
      </c>
    </row>
    <row r="48" spans="1:7" x14ac:dyDescent="0.3">
      <c r="A48" s="15">
        <f t="shared" si="0"/>
        <v>47</v>
      </c>
      <c r="B48" s="11">
        <v>2423</v>
      </c>
      <c r="C48" s="11">
        <v>2658</v>
      </c>
      <c r="D48" s="11">
        <v>2658</v>
      </c>
      <c r="E48" s="11">
        <v>3364.25</v>
      </c>
      <c r="F48" s="11">
        <v>3176.25</v>
      </c>
      <c r="G48" s="2">
        <v>4069.25</v>
      </c>
    </row>
    <row r="49" spans="1:7" x14ac:dyDescent="0.3">
      <c r="A49" s="15">
        <f t="shared" si="0"/>
        <v>48</v>
      </c>
      <c r="B49" s="11">
        <v>2474.5</v>
      </c>
      <c r="C49" s="11">
        <v>2714.5</v>
      </c>
      <c r="D49" s="11">
        <v>2714.5</v>
      </c>
      <c r="E49" s="11">
        <v>3435.75</v>
      </c>
      <c r="F49" s="11">
        <v>3243.75</v>
      </c>
      <c r="G49" s="2">
        <v>4155.75</v>
      </c>
    </row>
    <row r="50" spans="1:7" x14ac:dyDescent="0.3">
      <c r="A50" s="15">
        <f t="shared" si="0"/>
        <v>49</v>
      </c>
      <c r="B50" s="11">
        <v>2526</v>
      </c>
      <c r="C50" s="11">
        <v>2771</v>
      </c>
      <c r="D50" s="11">
        <v>2771</v>
      </c>
      <c r="E50" s="11">
        <v>3507.25</v>
      </c>
      <c r="F50" s="11">
        <v>3311.25</v>
      </c>
      <c r="G50" s="2">
        <v>4242.25</v>
      </c>
    </row>
    <row r="51" spans="1:7" ht="15" thickBot="1" x14ac:dyDescent="0.35">
      <c r="A51" s="207">
        <f t="shared" si="0"/>
        <v>50</v>
      </c>
      <c r="B51" s="11">
        <v>2577.5</v>
      </c>
      <c r="C51" s="11">
        <v>2827.5</v>
      </c>
      <c r="D51" s="11">
        <v>2827.5</v>
      </c>
      <c r="E51" s="11">
        <v>3578.75</v>
      </c>
      <c r="F51" s="11">
        <v>3378.75</v>
      </c>
      <c r="G51" s="2">
        <v>4328.75</v>
      </c>
    </row>
    <row r="52" spans="1:7" x14ac:dyDescent="0.3">
      <c r="A52" s="15"/>
      <c r="B52" s="11"/>
      <c r="C52" s="11"/>
      <c r="D52" s="11"/>
      <c r="E52" s="11"/>
      <c r="F52" s="11"/>
      <c r="G52" s="2"/>
    </row>
    <row r="53" spans="1:7" x14ac:dyDescent="0.3">
      <c r="A53" s="15"/>
      <c r="B53" s="11"/>
      <c r="C53" s="11"/>
      <c r="D53" s="11"/>
      <c r="E53" s="11"/>
      <c r="F53" s="11"/>
      <c r="G53" s="2"/>
    </row>
    <row r="54" spans="1:7" x14ac:dyDescent="0.3">
      <c r="A54" s="15"/>
      <c r="B54" s="11"/>
      <c r="C54" s="11"/>
      <c r="D54" s="11"/>
      <c r="E54" s="11"/>
      <c r="F54" s="11"/>
      <c r="G54" s="2"/>
    </row>
    <row r="55" spans="1:7" x14ac:dyDescent="0.3">
      <c r="A55" s="15"/>
      <c r="B55" s="11"/>
      <c r="C55" s="11"/>
      <c r="D55" s="11"/>
      <c r="E55" s="11"/>
      <c r="F55" s="11"/>
      <c r="G55" s="2"/>
    </row>
    <row r="56" spans="1:7" x14ac:dyDescent="0.3">
      <c r="A56" s="15"/>
      <c r="B56" s="11"/>
      <c r="C56" s="11"/>
      <c r="D56" s="11"/>
      <c r="E56" s="11"/>
      <c r="F56" s="11"/>
      <c r="G56" s="2"/>
    </row>
    <row r="57" spans="1:7" x14ac:dyDescent="0.3">
      <c r="A57" s="15"/>
      <c r="B57" s="11"/>
      <c r="C57" s="11"/>
      <c r="D57" s="11"/>
      <c r="E57" s="11"/>
      <c r="F57" s="11"/>
      <c r="G57" s="2"/>
    </row>
    <row r="58" spans="1:7" x14ac:dyDescent="0.3">
      <c r="A58" s="15"/>
      <c r="B58" s="11"/>
      <c r="C58" s="11"/>
      <c r="D58" s="11"/>
      <c r="E58" s="11"/>
      <c r="F58" s="11"/>
      <c r="G58" s="2"/>
    </row>
    <row r="59" spans="1:7" x14ac:dyDescent="0.3">
      <c r="A59" s="15"/>
      <c r="B59" s="11"/>
      <c r="C59" s="11"/>
      <c r="D59" s="11"/>
      <c r="E59" s="11"/>
      <c r="F59" s="11"/>
      <c r="G59" s="2"/>
    </row>
    <row r="60" spans="1:7" x14ac:dyDescent="0.3">
      <c r="A60" s="15"/>
      <c r="B60" s="11"/>
      <c r="C60" s="11"/>
      <c r="D60" s="11"/>
      <c r="E60" s="11"/>
      <c r="F60" s="11"/>
      <c r="G60" s="2"/>
    </row>
    <row r="61" spans="1:7" x14ac:dyDescent="0.3">
      <c r="A61" s="15"/>
      <c r="B61" s="11"/>
      <c r="C61" s="11"/>
      <c r="D61" s="11"/>
      <c r="E61" s="11"/>
      <c r="F61" s="11"/>
      <c r="G61" s="2"/>
    </row>
    <row r="62" spans="1:7" x14ac:dyDescent="0.3">
      <c r="A62" s="15"/>
      <c r="B62" s="11"/>
      <c r="C62" s="11"/>
      <c r="D62" s="11"/>
      <c r="E62" s="11"/>
      <c r="F62" s="11"/>
      <c r="G62" s="2"/>
    </row>
    <row r="63" spans="1:7" x14ac:dyDescent="0.3">
      <c r="A63" s="15"/>
      <c r="B63" s="11"/>
      <c r="C63" s="11"/>
      <c r="D63" s="11"/>
      <c r="E63" s="11"/>
      <c r="F63" s="11"/>
      <c r="G63" s="2"/>
    </row>
    <row r="64" spans="1:7" x14ac:dyDescent="0.3">
      <c r="A64" s="15"/>
      <c r="B64" s="11"/>
      <c r="C64" s="11"/>
      <c r="D64" s="11"/>
      <c r="E64" s="11"/>
      <c r="F64" s="11"/>
      <c r="G64" s="2"/>
    </row>
    <row r="65" spans="1:7" x14ac:dyDescent="0.3">
      <c r="A65" s="15"/>
      <c r="B65" s="11"/>
      <c r="C65" s="11"/>
      <c r="D65" s="11"/>
      <c r="E65" s="11"/>
      <c r="F65" s="11"/>
      <c r="G65" s="2"/>
    </row>
    <row r="66" spans="1:7" x14ac:dyDescent="0.3">
      <c r="A66" s="15"/>
      <c r="B66" s="11"/>
      <c r="C66" s="11"/>
      <c r="D66" s="11"/>
      <c r="E66" s="11"/>
      <c r="F66" s="11"/>
      <c r="G66" s="2"/>
    </row>
    <row r="67" spans="1:7" x14ac:dyDescent="0.3">
      <c r="A67" s="15"/>
      <c r="B67" s="11"/>
      <c r="C67" s="11"/>
      <c r="D67" s="11"/>
      <c r="E67" s="11"/>
      <c r="F67" s="11"/>
      <c r="G67" s="2"/>
    </row>
    <row r="68" spans="1:7" x14ac:dyDescent="0.3">
      <c r="A68" s="15"/>
      <c r="B68" s="11"/>
      <c r="C68" s="11"/>
      <c r="D68" s="11"/>
      <c r="E68" s="11"/>
      <c r="F68" s="11"/>
      <c r="G68" s="2"/>
    </row>
    <row r="69" spans="1:7" x14ac:dyDescent="0.3">
      <c r="A69" s="15"/>
      <c r="B69" s="11"/>
      <c r="C69" s="11"/>
      <c r="D69" s="11"/>
      <c r="E69" s="11"/>
      <c r="F69" s="11"/>
      <c r="G69" s="2"/>
    </row>
    <row r="70" spans="1:7" x14ac:dyDescent="0.3">
      <c r="A70" s="15"/>
      <c r="B70" s="11"/>
      <c r="C70" s="11"/>
      <c r="D70" s="11"/>
      <c r="E70" s="11"/>
      <c r="F70" s="11"/>
      <c r="G70" s="2"/>
    </row>
    <row r="71" spans="1:7" x14ac:dyDescent="0.3">
      <c r="A71" s="15"/>
      <c r="B71" s="11"/>
      <c r="C71" s="11"/>
      <c r="D71" s="11"/>
      <c r="E71" s="11"/>
      <c r="F71" s="11"/>
      <c r="G71" s="2"/>
    </row>
    <row r="72" spans="1:7" x14ac:dyDescent="0.3">
      <c r="A72" s="15"/>
      <c r="B72" s="11"/>
      <c r="C72" s="11"/>
      <c r="D72" s="11"/>
      <c r="E72" s="11"/>
      <c r="F72" s="11"/>
      <c r="G72" s="2"/>
    </row>
    <row r="73" spans="1:7" x14ac:dyDescent="0.3">
      <c r="A73" s="15"/>
      <c r="B73" s="11"/>
      <c r="C73" s="11"/>
      <c r="D73" s="11"/>
      <c r="E73" s="11"/>
      <c r="F73" s="11"/>
      <c r="G73" s="2"/>
    </row>
    <row r="74" spans="1:7" x14ac:dyDescent="0.3">
      <c r="A74" s="15"/>
      <c r="B74" s="11"/>
      <c r="C74" s="11"/>
      <c r="D74" s="11"/>
      <c r="E74" s="11"/>
      <c r="F74" s="11"/>
      <c r="G74" s="2"/>
    </row>
    <row r="75" spans="1:7" x14ac:dyDescent="0.3">
      <c r="A75" s="15"/>
      <c r="B75" s="11"/>
      <c r="C75" s="11"/>
      <c r="D75" s="11"/>
      <c r="E75" s="11"/>
      <c r="F75" s="11"/>
      <c r="G75" s="2"/>
    </row>
    <row r="76" spans="1:7" x14ac:dyDescent="0.3">
      <c r="A76" s="15"/>
      <c r="B76" s="11"/>
      <c r="C76" s="11"/>
      <c r="D76" s="11"/>
      <c r="E76" s="11"/>
      <c r="F76" s="11"/>
      <c r="G76" s="2"/>
    </row>
    <row r="77" spans="1:7" x14ac:dyDescent="0.3">
      <c r="A77" s="15"/>
      <c r="B77" s="11"/>
      <c r="C77" s="11"/>
      <c r="D77" s="11"/>
      <c r="E77" s="11"/>
      <c r="F77" s="11"/>
      <c r="G77" s="2"/>
    </row>
    <row r="78" spans="1:7" x14ac:dyDescent="0.3">
      <c r="A78" s="15"/>
      <c r="B78" s="11"/>
      <c r="C78" s="11"/>
      <c r="D78" s="11"/>
      <c r="E78" s="11"/>
      <c r="F78" s="11"/>
      <c r="G78" s="2"/>
    </row>
    <row r="79" spans="1:7" x14ac:dyDescent="0.3">
      <c r="A79" s="15"/>
      <c r="B79" s="11"/>
      <c r="C79" s="11"/>
      <c r="D79" s="11"/>
      <c r="E79" s="11"/>
      <c r="F79" s="11"/>
      <c r="G79" s="2"/>
    </row>
    <row r="80" spans="1:7" x14ac:dyDescent="0.3">
      <c r="A80" s="15"/>
      <c r="B80" s="11"/>
      <c r="C80" s="11"/>
      <c r="D80" s="11"/>
      <c r="E80" s="11"/>
      <c r="F80" s="11"/>
      <c r="G80" s="2"/>
    </row>
    <row r="81" spans="1:7" x14ac:dyDescent="0.3">
      <c r="A81" s="15"/>
      <c r="B81" s="11"/>
      <c r="C81" s="11"/>
      <c r="D81" s="11"/>
      <c r="E81" s="11"/>
      <c r="F81" s="11"/>
      <c r="G81" s="2"/>
    </row>
    <row r="82" spans="1:7" x14ac:dyDescent="0.3">
      <c r="A82" s="15"/>
      <c r="B82" s="11"/>
      <c r="C82" s="11"/>
      <c r="D82" s="11"/>
      <c r="E82" s="11"/>
      <c r="F82" s="11"/>
      <c r="G82" s="2"/>
    </row>
    <row r="83" spans="1:7" x14ac:dyDescent="0.3">
      <c r="A83" s="15"/>
      <c r="B83" s="11"/>
      <c r="C83" s="11"/>
      <c r="D83" s="11"/>
      <c r="E83" s="11"/>
      <c r="F83" s="11"/>
      <c r="G83" s="2"/>
    </row>
    <row r="84" spans="1:7" x14ac:dyDescent="0.3">
      <c r="A84" s="15"/>
      <c r="B84" s="11"/>
      <c r="C84" s="11"/>
      <c r="D84" s="11"/>
      <c r="E84" s="11"/>
      <c r="F84" s="11"/>
      <c r="G84" s="2"/>
    </row>
    <row r="85" spans="1:7" x14ac:dyDescent="0.3">
      <c r="A85" s="15"/>
      <c r="B85" s="11"/>
      <c r="C85" s="11"/>
      <c r="D85" s="11"/>
      <c r="E85" s="11"/>
      <c r="F85" s="11"/>
      <c r="G85" s="2"/>
    </row>
    <row r="86" spans="1:7" x14ac:dyDescent="0.3">
      <c r="A86" s="15"/>
      <c r="B86" s="11"/>
      <c r="C86" s="11"/>
      <c r="D86" s="11"/>
      <c r="E86" s="11"/>
      <c r="F86" s="11"/>
      <c r="G86" s="2"/>
    </row>
    <row r="87" spans="1:7" x14ac:dyDescent="0.3">
      <c r="A87" s="15"/>
      <c r="B87" s="11"/>
      <c r="C87" s="11"/>
      <c r="D87" s="11"/>
      <c r="E87" s="11"/>
      <c r="F87" s="11"/>
      <c r="G87" s="2"/>
    </row>
    <row r="88" spans="1:7" x14ac:dyDescent="0.3">
      <c r="A88" s="15"/>
      <c r="B88" s="11"/>
      <c r="C88" s="11"/>
      <c r="D88" s="11"/>
      <c r="E88" s="11"/>
      <c r="F88" s="11"/>
      <c r="G88" s="2"/>
    </row>
    <row r="89" spans="1:7" x14ac:dyDescent="0.3">
      <c r="A89" s="15"/>
      <c r="B89" s="11"/>
      <c r="C89" s="11"/>
      <c r="D89" s="11"/>
      <c r="E89" s="11"/>
      <c r="F89" s="11"/>
      <c r="G89" s="2"/>
    </row>
    <row r="90" spans="1:7" x14ac:dyDescent="0.3">
      <c r="A90" s="15"/>
      <c r="B90" s="11"/>
      <c r="C90" s="11"/>
      <c r="D90" s="11"/>
      <c r="E90" s="11"/>
      <c r="F90" s="11"/>
      <c r="G90" s="2"/>
    </row>
    <row r="91" spans="1:7" x14ac:dyDescent="0.3">
      <c r="A91" s="15"/>
      <c r="B91" s="11"/>
      <c r="C91" s="11"/>
      <c r="D91" s="11"/>
      <c r="E91" s="11"/>
      <c r="F91" s="11"/>
      <c r="G91" s="2"/>
    </row>
    <row r="92" spans="1:7" x14ac:dyDescent="0.3">
      <c r="A92" s="15"/>
      <c r="B92" s="11"/>
      <c r="C92" s="11"/>
      <c r="D92" s="11"/>
      <c r="E92" s="11"/>
      <c r="F92" s="11"/>
      <c r="G92" s="2"/>
    </row>
    <row r="93" spans="1:7" x14ac:dyDescent="0.3">
      <c r="A93" s="15"/>
      <c r="B93" s="11"/>
      <c r="C93" s="11"/>
      <c r="D93" s="11"/>
      <c r="E93" s="11"/>
      <c r="F93" s="11"/>
      <c r="G93" s="2"/>
    </row>
    <row r="94" spans="1:7" x14ac:dyDescent="0.3">
      <c r="A94" s="15"/>
      <c r="B94" s="11"/>
      <c r="C94" s="11"/>
      <c r="D94" s="11"/>
      <c r="E94" s="11"/>
      <c r="F94" s="11"/>
      <c r="G94" s="2"/>
    </row>
    <row r="95" spans="1:7" x14ac:dyDescent="0.3">
      <c r="A95" s="15"/>
      <c r="B95" s="11"/>
      <c r="C95" s="11"/>
      <c r="D95" s="11"/>
      <c r="E95" s="11"/>
      <c r="F95" s="11"/>
      <c r="G95" s="2"/>
    </row>
    <row r="96" spans="1:7" x14ac:dyDescent="0.3">
      <c r="A96" s="15"/>
      <c r="B96" s="11"/>
      <c r="C96" s="11"/>
      <c r="D96" s="11"/>
      <c r="E96" s="11"/>
      <c r="F96" s="11"/>
      <c r="G96" s="2"/>
    </row>
    <row r="97" spans="1:7" x14ac:dyDescent="0.3">
      <c r="A97" s="15"/>
      <c r="B97" s="11"/>
      <c r="C97" s="11"/>
      <c r="D97" s="11"/>
      <c r="E97" s="11"/>
      <c r="F97" s="11"/>
      <c r="G97" s="2"/>
    </row>
    <row r="98" spans="1:7" x14ac:dyDescent="0.3">
      <c r="A98" s="15"/>
      <c r="B98" s="11"/>
      <c r="C98" s="11"/>
      <c r="D98" s="11"/>
      <c r="E98" s="11"/>
      <c r="F98" s="11"/>
      <c r="G98" s="2"/>
    </row>
    <row r="99" spans="1:7" x14ac:dyDescent="0.3">
      <c r="A99" s="15"/>
      <c r="B99" s="11"/>
      <c r="C99" s="11"/>
      <c r="D99" s="11"/>
      <c r="E99" s="11"/>
      <c r="F99" s="11"/>
      <c r="G99" s="2"/>
    </row>
    <row r="100" spans="1:7" x14ac:dyDescent="0.3">
      <c r="A100" s="15"/>
      <c r="B100" s="11"/>
      <c r="C100" s="11"/>
      <c r="D100" s="11"/>
      <c r="E100" s="11"/>
      <c r="F100" s="11"/>
      <c r="G100" s="2"/>
    </row>
    <row r="101" spans="1:7" x14ac:dyDescent="0.3">
      <c r="A101" s="15"/>
      <c r="B101" s="11"/>
      <c r="C101" s="11"/>
      <c r="D101" s="11"/>
      <c r="E101" s="11"/>
      <c r="F101" s="11"/>
      <c r="G101" s="2"/>
    </row>
    <row r="102" spans="1:7" x14ac:dyDescent="0.3">
      <c r="A102" s="15"/>
      <c r="B102" s="11"/>
      <c r="C102" s="11"/>
      <c r="D102" s="11"/>
      <c r="E102" s="11"/>
      <c r="F102" s="11"/>
      <c r="G102" s="2"/>
    </row>
    <row r="103" spans="1:7" x14ac:dyDescent="0.3">
      <c r="A103" s="15"/>
      <c r="B103" s="11"/>
      <c r="C103" s="11"/>
      <c r="D103" s="11"/>
      <c r="E103" s="11"/>
      <c r="F103" s="11"/>
      <c r="G10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40EA-BB92-4569-AA3E-2CDC022E666F}">
  <dimension ref="A1:B103"/>
  <sheetViews>
    <sheetView workbookViewId="0">
      <selection sqref="A1:A103"/>
    </sheetView>
  </sheetViews>
  <sheetFormatPr defaultRowHeight="14.4" x14ac:dyDescent="0.3"/>
  <cols>
    <col min="1" max="1" width="12.44140625" bestFit="1" customWidth="1"/>
    <col min="2" max="2" width="7" bestFit="1" customWidth="1"/>
  </cols>
  <sheetData>
    <row r="1" spans="1:2" x14ac:dyDescent="0.3">
      <c r="A1" s="30" t="s">
        <v>5</v>
      </c>
      <c r="B1" s="4"/>
    </row>
    <row r="2" spans="1:2" x14ac:dyDescent="0.3">
      <c r="A2" s="27">
        <v>0.5</v>
      </c>
      <c r="B2" s="32"/>
    </row>
    <row r="3" spans="1:2" ht="15" thickBot="1" x14ac:dyDescent="0.35">
      <c r="A3" s="28">
        <f>A2 +0.5</f>
        <v>1</v>
      </c>
      <c r="B3" s="33"/>
    </row>
    <row r="4" spans="1:2" x14ac:dyDescent="0.3">
      <c r="A4" s="27">
        <f>A3 +0.5</f>
        <v>1.5</v>
      </c>
    </row>
    <row r="5" spans="1:2" x14ac:dyDescent="0.3">
      <c r="A5" s="27">
        <f t="shared" ref="A5:A19" si="0">A4 +0.5</f>
        <v>2</v>
      </c>
    </row>
    <row r="6" spans="1:2" x14ac:dyDescent="0.3">
      <c r="A6" s="27">
        <f t="shared" si="0"/>
        <v>2.5</v>
      </c>
    </row>
    <row r="7" spans="1:2" x14ac:dyDescent="0.3">
      <c r="A7" s="27">
        <f t="shared" si="0"/>
        <v>3</v>
      </c>
    </row>
    <row r="8" spans="1:2" x14ac:dyDescent="0.3">
      <c r="A8" s="27">
        <f t="shared" si="0"/>
        <v>3.5</v>
      </c>
    </row>
    <row r="9" spans="1:2" x14ac:dyDescent="0.3">
      <c r="A9" s="27">
        <f t="shared" si="0"/>
        <v>4</v>
      </c>
    </row>
    <row r="10" spans="1:2" x14ac:dyDescent="0.3">
      <c r="A10" s="27">
        <f t="shared" si="0"/>
        <v>4.5</v>
      </c>
    </row>
    <row r="11" spans="1:2" x14ac:dyDescent="0.3">
      <c r="A11" s="27">
        <f t="shared" si="0"/>
        <v>5</v>
      </c>
    </row>
    <row r="12" spans="1:2" x14ac:dyDescent="0.3">
      <c r="A12" s="27">
        <f t="shared" si="0"/>
        <v>5.5</v>
      </c>
    </row>
    <row r="13" spans="1:2" x14ac:dyDescent="0.3">
      <c r="A13" s="27">
        <f t="shared" si="0"/>
        <v>6</v>
      </c>
    </row>
    <row r="14" spans="1:2" x14ac:dyDescent="0.3">
      <c r="A14" s="27">
        <f t="shared" si="0"/>
        <v>6.5</v>
      </c>
    </row>
    <row r="15" spans="1:2" x14ac:dyDescent="0.3">
      <c r="A15" s="27">
        <f t="shared" si="0"/>
        <v>7</v>
      </c>
    </row>
    <row r="16" spans="1:2" x14ac:dyDescent="0.3">
      <c r="A16" s="27">
        <f t="shared" si="0"/>
        <v>7.5</v>
      </c>
    </row>
    <row r="17" spans="1:1" x14ac:dyDescent="0.3">
      <c r="A17" s="27">
        <f t="shared" si="0"/>
        <v>8</v>
      </c>
    </row>
    <row r="18" spans="1:1" x14ac:dyDescent="0.3">
      <c r="A18" s="27">
        <f t="shared" si="0"/>
        <v>8.5</v>
      </c>
    </row>
    <row r="19" spans="1:1" x14ac:dyDescent="0.3">
      <c r="A19" s="27">
        <f t="shared" si="0"/>
        <v>9</v>
      </c>
    </row>
    <row r="20" spans="1:1" x14ac:dyDescent="0.3">
      <c r="A20" s="27">
        <f>A19 +0.5</f>
        <v>9.5</v>
      </c>
    </row>
    <row r="21" spans="1:1" x14ac:dyDescent="0.3">
      <c r="A21" s="27">
        <f>A20 +0.5</f>
        <v>10</v>
      </c>
    </row>
    <row r="22" spans="1:1" x14ac:dyDescent="0.3">
      <c r="A22" s="27">
        <f t="shared" ref="A22:A85" si="1">A21 +0.5</f>
        <v>10.5</v>
      </c>
    </row>
    <row r="23" spans="1:1" x14ac:dyDescent="0.3">
      <c r="A23" s="27">
        <f t="shared" si="1"/>
        <v>11</v>
      </c>
    </row>
    <row r="24" spans="1:1" x14ac:dyDescent="0.3">
      <c r="A24" s="27">
        <f t="shared" si="1"/>
        <v>11.5</v>
      </c>
    </row>
    <row r="25" spans="1:1" x14ac:dyDescent="0.3">
      <c r="A25" s="27">
        <f t="shared" si="1"/>
        <v>12</v>
      </c>
    </row>
    <row r="26" spans="1:1" x14ac:dyDescent="0.3">
      <c r="A26" s="27">
        <f t="shared" si="1"/>
        <v>12.5</v>
      </c>
    </row>
    <row r="27" spans="1:1" x14ac:dyDescent="0.3">
      <c r="A27" s="27">
        <f t="shared" si="1"/>
        <v>13</v>
      </c>
    </row>
    <row r="28" spans="1:1" x14ac:dyDescent="0.3">
      <c r="A28" s="27">
        <f t="shared" si="1"/>
        <v>13.5</v>
      </c>
    </row>
    <row r="29" spans="1:1" x14ac:dyDescent="0.3">
      <c r="A29" s="27">
        <f t="shared" si="1"/>
        <v>14</v>
      </c>
    </row>
    <row r="30" spans="1:1" x14ac:dyDescent="0.3">
      <c r="A30" s="27">
        <f t="shared" si="1"/>
        <v>14.5</v>
      </c>
    </row>
    <row r="31" spans="1:1" x14ac:dyDescent="0.3">
      <c r="A31" s="27">
        <f t="shared" si="1"/>
        <v>15</v>
      </c>
    </row>
    <row r="32" spans="1:1" x14ac:dyDescent="0.3">
      <c r="A32" s="27">
        <f t="shared" si="1"/>
        <v>15.5</v>
      </c>
    </row>
    <row r="33" spans="1:1" x14ac:dyDescent="0.3">
      <c r="A33" s="27">
        <f t="shared" si="1"/>
        <v>16</v>
      </c>
    </row>
    <row r="34" spans="1:1" x14ac:dyDescent="0.3">
      <c r="A34" s="27">
        <f t="shared" si="1"/>
        <v>16.5</v>
      </c>
    </row>
    <row r="35" spans="1:1" x14ac:dyDescent="0.3">
      <c r="A35" s="27">
        <f t="shared" si="1"/>
        <v>17</v>
      </c>
    </row>
    <row r="36" spans="1:1" x14ac:dyDescent="0.3">
      <c r="A36" s="27">
        <f t="shared" si="1"/>
        <v>17.5</v>
      </c>
    </row>
    <row r="37" spans="1:1" x14ac:dyDescent="0.3">
      <c r="A37" s="27">
        <f t="shared" si="1"/>
        <v>18</v>
      </c>
    </row>
    <row r="38" spans="1:1" x14ac:dyDescent="0.3">
      <c r="A38" s="27">
        <f t="shared" si="1"/>
        <v>18.5</v>
      </c>
    </row>
    <row r="39" spans="1:1" x14ac:dyDescent="0.3">
      <c r="A39" s="27">
        <f t="shared" si="1"/>
        <v>19</v>
      </c>
    </row>
    <row r="40" spans="1:1" x14ac:dyDescent="0.3">
      <c r="A40" s="27">
        <f t="shared" si="1"/>
        <v>19.5</v>
      </c>
    </row>
    <row r="41" spans="1:1" x14ac:dyDescent="0.3">
      <c r="A41" s="27">
        <f t="shared" si="1"/>
        <v>20</v>
      </c>
    </row>
    <row r="42" spans="1:1" x14ac:dyDescent="0.3">
      <c r="A42" s="27">
        <f t="shared" si="1"/>
        <v>20.5</v>
      </c>
    </row>
    <row r="43" spans="1:1" x14ac:dyDescent="0.3">
      <c r="A43" s="27">
        <f t="shared" si="1"/>
        <v>21</v>
      </c>
    </row>
    <row r="44" spans="1:1" x14ac:dyDescent="0.3">
      <c r="A44" s="27">
        <f t="shared" si="1"/>
        <v>21.5</v>
      </c>
    </row>
    <row r="45" spans="1:1" x14ac:dyDescent="0.3">
      <c r="A45" s="27">
        <f t="shared" si="1"/>
        <v>22</v>
      </c>
    </row>
    <row r="46" spans="1:1" x14ac:dyDescent="0.3">
      <c r="A46" s="27">
        <f t="shared" si="1"/>
        <v>22.5</v>
      </c>
    </row>
    <row r="47" spans="1:1" x14ac:dyDescent="0.3">
      <c r="A47" s="27">
        <f t="shared" si="1"/>
        <v>23</v>
      </c>
    </row>
    <row r="48" spans="1:1" x14ac:dyDescent="0.3">
      <c r="A48" s="27">
        <f t="shared" si="1"/>
        <v>23.5</v>
      </c>
    </row>
    <row r="49" spans="1:1" x14ac:dyDescent="0.3">
      <c r="A49" s="27">
        <f t="shared" si="1"/>
        <v>24</v>
      </c>
    </row>
    <row r="50" spans="1:1" x14ac:dyDescent="0.3">
      <c r="A50" s="27">
        <f t="shared" si="1"/>
        <v>24.5</v>
      </c>
    </row>
    <row r="51" spans="1:1" x14ac:dyDescent="0.3">
      <c r="A51" s="27">
        <f t="shared" si="1"/>
        <v>25</v>
      </c>
    </row>
    <row r="52" spans="1:1" x14ac:dyDescent="0.3">
      <c r="A52" s="27">
        <f t="shared" si="1"/>
        <v>25.5</v>
      </c>
    </row>
    <row r="53" spans="1:1" x14ac:dyDescent="0.3">
      <c r="A53" s="27">
        <f t="shared" si="1"/>
        <v>26</v>
      </c>
    </row>
    <row r="54" spans="1:1" x14ac:dyDescent="0.3">
      <c r="A54" s="27">
        <f t="shared" si="1"/>
        <v>26.5</v>
      </c>
    </row>
    <row r="55" spans="1:1" x14ac:dyDescent="0.3">
      <c r="A55" s="27">
        <f t="shared" si="1"/>
        <v>27</v>
      </c>
    </row>
    <row r="56" spans="1:1" x14ac:dyDescent="0.3">
      <c r="A56" s="27">
        <f t="shared" si="1"/>
        <v>27.5</v>
      </c>
    </row>
    <row r="57" spans="1:1" x14ac:dyDescent="0.3">
      <c r="A57" s="27">
        <f t="shared" si="1"/>
        <v>28</v>
      </c>
    </row>
    <row r="58" spans="1:1" x14ac:dyDescent="0.3">
      <c r="A58" s="27">
        <f t="shared" si="1"/>
        <v>28.5</v>
      </c>
    </row>
    <row r="59" spans="1:1" x14ac:dyDescent="0.3">
      <c r="A59" s="27">
        <f t="shared" si="1"/>
        <v>29</v>
      </c>
    </row>
    <row r="60" spans="1:1" x14ac:dyDescent="0.3">
      <c r="A60" s="27">
        <f t="shared" si="1"/>
        <v>29.5</v>
      </c>
    </row>
    <row r="61" spans="1:1" x14ac:dyDescent="0.3">
      <c r="A61" s="27">
        <f t="shared" si="1"/>
        <v>30</v>
      </c>
    </row>
    <row r="62" spans="1:1" x14ac:dyDescent="0.3">
      <c r="A62" s="27">
        <f t="shared" si="1"/>
        <v>30.5</v>
      </c>
    </row>
    <row r="63" spans="1:1" x14ac:dyDescent="0.3">
      <c r="A63" s="27">
        <f t="shared" si="1"/>
        <v>31</v>
      </c>
    </row>
    <row r="64" spans="1:1" x14ac:dyDescent="0.3">
      <c r="A64" s="27">
        <f t="shared" si="1"/>
        <v>31.5</v>
      </c>
    </row>
    <row r="65" spans="1:1" x14ac:dyDescent="0.3">
      <c r="A65" s="27">
        <f t="shared" si="1"/>
        <v>32</v>
      </c>
    </row>
    <row r="66" spans="1:1" x14ac:dyDescent="0.3">
      <c r="A66" s="27">
        <f t="shared" si="1"/>
        <v>32.5</v>
      </c>
    </row>
    <row r="67" spans="1:1" x14ac:dyDescent="0.3">
      <c r="A67" s="27">
        <f t="shared" si="1"/>
        <v>33</v>
      </c>
    </row>
    <row r="68" spans="1:1" x14ac:dyDescent="0.3">
      <c r="A68" s="27">
        <f t="shared" si="1"/>
        <v>33.5</v>
      </c>
    </row>
    <row r="69" spans="1:1" x14ac:dyDescent="0.3">
      <c r="A69" s="27">
        <f t="shared" si="1"/>
        <v>34</v>
      </c>
    </row>
    <row r="70" spans="1:1" x14ac:dyDescent="0.3">
      <c r="A70" s="27">
        <f t="shared" si="1"/>
        <v>34.5</v>
      </c>
    </row>
    <row r="71" spans="1:1" x14ac:dyDescent="0.3">
      <c r="A71" s="27">
        <f t="shared" si="1"/>
        <v>35</v>
      </c>
    </row>
    <row r="72" spans="1:1" x14ac:dyDescent="0.3">
      <c r="A72" s="27">
        <f t="shared" si="1"/>
        <v>35.5</v>
      </c>
    </row>
    <row r="73" spans="1:1" x14ac:dyDescent="0.3">
      <c r="A73" s="27">
        <f t="shared" si="1"/>
        <v>36</v>
      </c>
    </row>
    <row r="74" spans="1:1" x14ac:dyDescent="0.3">
      <c r="A74" s="27">
        <f t="shared" si="1"/>
        <v>36.5</v>
      </c>
    </row>
    <row r="75" spans="1:1" x14ac:dyDescent="0.3">
      <c r="A75" s="27">
        <f t="shared" si="1"/>
        <v>37</v>
      </c>
    </row>
    <row r="76" spans="1:1" x14ac:dyDescent="0.3">
      <c r="A76" s="27">
        <f t="shared" si="1"/>
        <v>37.5</v>
      </c>
    </row>
    <row r="77" spans="1:1" x14ac:dyDescent="0.3">
      <c r="A77" s="27">
        <f t="shared" si="1"/>
        <v>38</v>
      </c>
    </row>
    <row r="78" spans="1:1" x14ac:dyDescent="0.3">
      <c r="A78" s="27">
        <f t="shared" si="1"/>
        <v>38.5</v>
      </c>
    </row>
    <row r="79" spans="1:1" x14ac:dyDescent="0.3">
      <c r="A79" s="27">
        <f t="shared" si="1"/>
        <v>39</v>
      </c>
    </row>
    <row r="80" spans="1:1" x14ac:dyDescent="0.3">
      <c r="A80" s="27">
        <f t="shared" si="1"/>
        <v>39.5</v>
      </c>
    </row>
    <row r="81" spans="1:1" x14ac:dyDescent="0.3">
      <c r="A81" s="27">
        <f t="shared" si="1"/>
        <v>40</v>
      </c>
    </row>
    <row r="82" spans="1:1" x14ac:dyDescent="0.3">
      <c r="A82" s="27">
        <f t="shared" si="1"/>
        <v>40.5</v>
      </c>
    </row>
    <row r="83" spans="1:1" x14ac:dyDescent="0.3">
      <c r="A83" s="27">
        <f t="shared" si="1"/>
        <v>41</v>
      </c>
    </row>
    <row r="84" spans="1:1" x14ac:dyDescent="0.3">
      <c r="A84" s="27">
        <f t="shared" si="1"/>
        <v>41.5</v>
      </c>
    </row>
    <row r="85" spans="1:1" x14ac:dyDescent="0.3">
      <c r="A85" s="27">
        <f t="shared" si="1"/>
        <v>42</v>
      </c>
    </row>
    <row r="86" spans="1:1" x14ac:dyDescent="0.3">
      <c r="A86" s="27">
        <f t="shared" ref="A86:A103" si="2">A85 +0.5</f>
        <v>42.5</v>
      </c>
    </row>
    <row r="87" spans="1:1" x14ac:dyDescent="0.3">
      <c r="A87" s="27">
        <f t="shared" si="2"/>
        <v>43</v>
      </c>
    </row>
    <row r="88" spans="1:1" x14ac:dyDescent="0.3">
      <c r="A88" s="27">
        <f t="shared" si="2"/>
        <v>43.5</v>
      </c>
    </row>
    <row r="89" spans="1:1" x14ac:dyDescent="0.3">
      <c r="A89" s="27">
        <f t="shared" si="2"/>
        <v>44</v>
      </c>
    </row>
    <row r="90" spans="1:1" x14ac:dyDescent="0.3">
      <c r="A90" s="27">
        <f t="shared" si="2"/>
        <v>44.5</v>
      </c>
    </row>
    <row r="91" spans="1:1" x14ac:dyDescent="0.3">
      <c r="A91" s="27">
        <f t="shared" si="2"/>
        <v>45</v>
      </c>
    </row>
    <row r="92" spans="1:1" x14ac:dyDescent="0.3">
      <c r="A92" s="27">
        <f t="shared" si="2"/>
        <v>45.5</v>
      </c>
    </row>
    <row r="93" spans="1:1" x14ac:dyDescent="0.3">
      <c r="A93" s="27">
        <f t="shared" si="2"/>
        <v>46</v>
      </c>
    </row>
    <row r="94" spans="1:1" x14ac:dyDescent="0.3">
      <c r="A94" s="27">
        <f t="shared" si="2"/>
        <v>46.5</v>
      </c>
    </row>
    <row r="95" spans="1:1" x14ac:dyDescent="0.3">
      <c r="A95" s="27">
        <f t="shared" si="2"/>
        <v>47</v>
      </c>
    </row>
    <row r="96" spans="1:1" x14ac:dyDescent="0.3">
      <c r="A96" s="27">
        <f t="shared" si="2"/>
        <v>47.5</v>
      </c>
    </row>
    <row r="97" spans="1:1" x14ac:dyDescent="0.3">
      <c r="A97" s="27">
        <f t="shared" si="2"/>
        <v>48</v>
      </c>
    </row>
    <row r="98" spans="1:1" x14ac:dyDescent="0.3">
      <c r="A98" s="27">
        <f t="shared" si="2"/>
        <v>48.5</v>
      </c>
    </row>
    <row r="99" spans="1:1" x14ac:dyDescent="0.3">
      <c r="A99" s="27">
        <f t="shared" si="2"/>
        <v>49</v>
      </c>
    </row>
    <row r="100" spans="1:1" x14ac:dyDescent="0.3">
      <c r="A100" s="27">
        <f t="shared" si="2"/>
        <v>49.5</v>
      </c>
    </row>
    <row r="101" spans="1:1" x14ac:dyDescent="0.3">
      <c r="A101" s="27">
        <f t="shared" si="2"/>
        <v>50</v>
      </c>
    </row>
    <row r="102" spans="1:1" x14ac:dyDescent="0.3">
      <c r="A102" s="27">
        <f t="shared" si="2"/>
        <v>50.5</v>
      </c>
    </row>
    <row r="103" spans="1:1" ht="15" thickBot="1" x14ac:dyDescent="0.35">
      <c r="A103" s="29">
        <f t="shared" si="2"/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COSTINGMODEL</vt:lpstr>
      <vt:lpstr>COMPARATIVE</vt:lpstr>
      <vt:lpstr>DTDC PREV VS CURRENT</vt:lpstr>
      <vt:lpstr>SPECIALDESTINATION</vt:lpstr>
      <vt:lpstr>RESTOFINDIA</vt:lpstr>
      <vt:lpstr>METRO TO METRO</vt:lpstr>
      <vt:lpstr>WITHINZONE</vt:lpstr>
      <vt:lpstr>WITHINSTATE</vt:lpstr>
      <vt:lpstr>WITHINCITY</vt:lpstr>
      <vt:lpstr>DTDC</vt:lpstr>
      <vt:lpstr>PROFESSIONAL COURIER SERVICE</vt:lpstr>
      <vt:lpstr>SHREE MARUTI COURIER SERVICE</vt:lpstr>
      <vt:lpstr>ANJANI COURIER SERVICE</vt:lpstr>
      <vt:lpstr>ITHINK LOGISTIC SHADOWFAX</vt:lpstr>
      <vt:lpstr>Slabs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Chaurasia</cp:lastModifiedBy>
  <cp:lastPrinted>2026-03-17T06:10:32Z</cp:lastPrinted>
  <dcterms:created xsi:type="dcterms:W3CDTF">2026-02-21T16:43:34Z</dcterms:created>
  <dcterms:modified xsi:type="dcterms:W3CDTF">2026-07-14T12:38:40Z</dcterms:modified>
</cp:coreProperties>
</file>